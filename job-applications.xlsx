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20" yWindow="1820" windowWidth="14400" windowHeight="8710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Answers" sheetId="3" state="visible" r:id="rId3"/>
  </sheets>
  <definedNames>
    <definedName name="_xlnm._FilterDatabase" localSheetId="0" hidden="1">'Applications'!$A$1:$AC$56</definedName>
    <definedName name="_xlnm._FilterDatabase" localSheetId="2" hidden="1">'Answers'!$A$1:$E$40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yyyy\-mm\-dd"/>
    <numFmt numFmtId="166" formatCode="0&quot; days&quot;"/>
    <numFmt numFmtId="167" formatCode="yyyy-mm-dd"/>
  </numFmts>
  <fonts count="1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i val="1"/>
      <color rgb="FF6B7280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FF4B5563"/>
      <sz val="10"/>
    </font>
    <font>
      <name val="Arial"/>
      <color theme="1"/>
      <sz val="10"/>
    </font>
    <font>
      <name val="Arial"/>
      <family val="2"/>
      <color theme="1"/>
      <sz val="10"/>
    </font>
    <font>
      <name val="Arial"/>
      <b val="1"/>
      <color rgb="FFFFFFFF"/>
      <sz val="11"/>
    </font>
    <font>
      <name val="Arial"/>
      <i val="1"/>
      <color rgb="FF6B7280"/>
      <sz val="10"/>
    </font>
    <font>
      <name val="Arial"/>
      <b val="1"/>
      <color rgb="FFFFFFFF"/>
      <sz val="11"/>
    </font>
    <font>
      <name val="Arial"/>
      <i val="1"/>
      <color rgb="FF6B7280"/>
      <sz val="10"/>
    </font>
    <font>
      <name val="Arial"/>
      <color rgb="FF000000"/>
      <sz val="10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1F2937"/>
        <bgColor rgb="FF1F2937"/>
      </patternFill>
    </fill>
    <fill>
      <patternFill patternType="solid">
        <fgColor rgb="FF1F2937"/>
        <bgColor rgb="FF1F293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0" borderId="0" pivotButton="0" quotePrefix="0" xfId="0"/>
    <xf numFmtId="49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165" fontId="10" fillId="0" borderId="2" pivotButton="0" quotePrefix="0" xfId="0"/>
    <xf numFmtId="166" fontId="12" fillId="0" borderId="2" pivotButton="0" quotePrefix="0" xfId="0"/>
    <xf numFmtId="165" fontId="3" fillId="0" borderId="2" pivotButton="0" quotePrefix="0" xfId="0"/>
    <xf numFmtId="166" fontId="13" fillId="0" borderId="2" pivotButton="0" quotePrefix="0" xfId="0"/>
    <xf numFmtId="164" fontId="8" fillId="0" borderId="2" pivotButton="0" quotePrefix="0" xfId="0"/>
    <xf numFmtId="49" fontId="0" fillId="0" borderId="2" pivotButton="0" quotePrefix="0" xfId="0"/>
    <xf numFmtId="0" fontId="7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164" fontId="7" fillId="3" borderId="2" applyAlignment="1" pivotButton="0" quotePrefix="0" xfId="0">
      <alignment vertical="center"/>
    </xf>
    <xf numFmtId="15" fontId="0" fillId="0" borderId="2" pivotButton="0" quotePrefix="0" xfId="0"/>
    <xf numFmtId="0" fontId="0" fillId="0" borderId="3" pivotButton="0" quotePrefix="0" xfId="0"/>
    <xf numFmtId="3" fontId="0" fillId="0" borderId="2" pivotButton="0" quotePrefix="0" xfId="0"/>
    <xf numFmtId="16" fontId="0" fillId="0" borderId="2" pivotButton="0" quotePrefix="0" xfId="0"/>
    <xf numFmtId="166" fontId="14" fillId="0" borderId="2" pivotButton="0" quotePrefix="0" xfId="0"/>
    <xf numFmtId="14" fontId="0" fillId="0" borderId="2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3" pivotButton="0" quotePrefix="0" xfId="0"/>
    <xf numFmtId="167" fontId="0" fillId="0" borderId="2" pivotButton="0" quotePrefix="0" xfId="0"/>
    <xf numFmtId="167" fontId="0" fillId="0" borderId="0" pivotButton="0" quotePrefix="0" xfId="0"/>
  </cellXfs>
  <cellStyles count="1">
    <cellStyle name="Normal" xfId="0" builtinId="0"/>
  </cellStyles>
  <dxfs count="28">
    <dxf>
      <font>
        <name val="Arial"/>
        <color rgb="FF000000"/>
        <sz val="10"/>
      </font>
      <fill>
        <patternFill patternType="solid">
          <fgColor rgb="FFD1D5DB"/>
          <bgColor rgb="FFD1D5DB"/>
        </patternFill>
      </fill>
    </dxf>
    <dxf>
      <font>
        <name val="Arial"/>
        <color rgb="FF000000"/>
        <sz val="10"/>
      </font>
      <fill>
        <patternFill patternType="solid">
          <fgColor rgb="FFFDBA74"/>
          <bgColor rgb="FFFDBA74"/>
        </patternFill>
      </fill>
    </dxf>
    <dxf>
      <font>
        <name val="Arial"/>
        <color rgb="FFFFFFFF"/>
        <sz val="10"/>
      </font>
      <fill>
        <patternFill patternType="solid">
          <fgColor rgb="FF1E3A8A"/>
          <bgColor rgb="FF1E3A8A"/>
        </patternFill>
      </fill>
    </dxf>
    <dxf>
      <font>
        <name val="Arial"/>
        <color rgb="FF000000"/>
        <sz val="10"/>
      </font>
      <fill>
        <patternFill patternType="solid">
          <fgColor rgb="FFFCA5A5"/>
          <bgColor rgb="FFFCA5A5"/>
        </patternFill>
      </fill>
    </dxf>
    <dxf>
      <font>
        <name val="Arial"/>
        <color rgb="FF000000"/>
        <sz val="10"/>
      </font>
      <fill>
        <patternFill patternType="solid">
          <fgColor rgb="FF86EFAC"/>
          <bgColor rgb="FF86EFAC"/>
        </patternFill>
      </fill>
    </dxf>
    <dxf>
      <font>
        <name val="Arial"/>
        <color rgb="FF000000"/>
        <sz val="10"/>
      </font>
      <fill>
        <patternFill patternType="solid">
          <fgColor rgb="FFD9F99D"/>
          <bgColor rgb="FFD9F99D"/>
        </patternFill>
      </fill>
    </dxf>
    <dxf>
      <font>
        <name val="Arial"/>
        <color rgb="FF000000"/>
        <sz val="10"/>
      </font>
      <fill>
        <patternFill patternType="solid">
          <fgColor rgb="FFD9F99D"/>
          <bgColor rgb="FFD9F99D"/>
        </patternFill>
      </fill>
    </dxf>
    <dxf>
      <font>
        <name val="Arial"/>
        <color rgb="FF000000"/>
        <sz val="10"/>
      </font>
      <fill>
        <patternFill patternType="solid">
          <fgColor rgb="FFBFDBFE"/>
          <bgColor rgb="FFBFDBFE"/>
        </patternFill>
      </fill>
    </dxf>
    <dxf>
      <font>
        <name val="Arial"/>
        <color rgb="FF000000"/>
        <sz val="10"/>
      </font>
      <fill>
        <patternFill patternType="solid">
          <fgColor rgb="FFBFDBFE"/>
          <bgColor rgb="FFBFDBFE"/>
        </patternFill>
      </fill>
    </dxf>
    <dxf>
      <font>
        <name val="Arial"/>
        <color rgb="FF000000"/>
        <sz val="10"/>
      </font>
      <fill>
        <patternFill patternType="solid">
          <fgColor rgb="FFFCD34D"/>
          <bgColor rgb="FFFCD34D"/>
        </patternFill>
      </fill>
    </dxf>
    <dxf>
      <font>
        <name val="Arial"/>
        <color rgb="FF000000"/>
        <sz val="10"/>
      </font>
      <fill>
        <patternFill patternType="solid">
          <fgColor rgb="FFFEF08A"/>
          <bgColor rgb="FFFEF08A"/>
        </patternFill>
      </fill>
    </dxf>
    <dxf>
      <font>
        <name val="Arial"/>
        <color rgb="FF000000"/>
        <sz val="10"/>
      </font>
      <fill>
        <patternFill patternType="solid">
          <fgColor rgb="FFDBEAFE"/>
          <bgColor rgb="FFDBEAFE"/>
        </patternFill>
      </fill>
    </dxf>
    <dxf>
      <font>
        <name val="Arial"/>
        <color rgb="FF000000"/>
        <sz val="10"/>
      </font>
      <fill>
        <patternFill patternType="solid">
          <fgColor rgb="FFFDE68A"/>
          <bgColor rgb="FFFDE68A"/>
        </patternFill>
      </fill>
    </dxf>
    <dxf>
      <font>
        <name val="Arial"/>
        <color rgb="FF000000"/>
        <sz val="10"/>
      </font>
      <fill>
        <patternFill patternType="solid">
          <fgColor rgb="FFE9D5FF"/>
          <bgColor rgb="FFE9D5FF"/>
        </patternFill>
      </fill>
    </dxf>
    <dxf>
      <font>
        <name val="Arial"/>
        <color rgb="FF000000"/>
        <sz val="10"/>
      </font>
      <fill>
        <patternFill patternType="solid">
          <fgColor rgb="FFD1D5DB"/>
          <bgColor rgb="FFD1D5DB"/>
        </patternFill>
      </fill>
    </dxf>
    <dxf>
      <font>
        <name val="Arial"/>
        <color rgb="FF000000"/>
        <sz val="10"/>
      </font>
      <fill>
        <patternFill patternType="solid">
          <fgColor rgb="FFFDBA74"/>
          <bgColor rgb="FFFDBA74"/>
        </patternFill>
      </fill>
    </dxf>
    <dxf>
      <font>
        <name val="Arial"/>
        <color rgb="FFFFFFFF"/>
        <sz val="10"/>
      </font>
      <fill>
        <patternFill patternType="solid">
          <fgColor rgb="FF1E3A8A"/>
          <bgColor rgb="FF1E3A8A"/>
        </patternFill>
      </fill>
    </dxf>
    <dxf>
      <font>
        <name val="Arial"/>
        <color rgb="FF000000"/>
        <sz val="10"/>
      </font>
      <fill>
        <patternFill patternType="solid">
          <fgColor rgb="FFFCA5A5"/>
          <bgColor rgb="FFFCA5A5"/>
        </patternFill>
      </fill>
    </dxf>
    <dxf>
      <font>
        <name val="Arial"/>
        <color rgb="FF000000"/>
        <sz val="10"/>
      </font>
      <fill>
        <patternFill patternType="solid">
          <fgColor rgb="FF86EFAC"/>
          <bgColor rgb="FF86EFAC"/>
        </patternFill>
      </fill>
    </dxf>
    <dxf>
      <font>
        <name val="Arial"/>
        <color rgb="FF000000"/>
        <sz val="10"/>
      </font>
      <fill>
        <patternFill patternType="solid">
          <fgColor rgb="FFD9F99D"/>
          <bgColor rgb="FFD9F99D"/>
        </patternFill>
      </fill>
    </dxf>
    <dxf>
      <font>
        <name val="Arial"/>
        <color rgb="FF000000"/>
        <sz val="10"/>
      </font>
      <fill>
        <patternFill patternType="solid">
          <fgColor rgb="FFD9F99D"/>
          <bgColor rgb="FFD9F99D"/>
        </patternFill>
      </fill>
    </dxf>
    <dxf>
      <font>
        <name val="Arial"/>
        <color rgb="FF000000"/>
        <sz val="10"/>
      </font>
      <fill>
        <patternFill patternType="solid">
          <fgColor rgb="FFBFDBFE"/>
          <bgColor rgb="FFBFDBF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color rgb="FF000000"/>
        <sz val="10"/>
      </font>
      <fill>
        <patternFill patternType="solid">
          <fgColor rgb="FFBFDBFE"/>
          <bgColor rgb="FFBFDBF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color rgb="FF000000"/>
        <sz val="10"/>
      </font>
      <fill>
        <patternFill patternType="solid">
          <fgColor rgb="FFFCD34D"/>
          <bgColor rgb="FFFCD34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color rgb="FF000000"/>
        <sz val="10"/>
      </font>
      <fill>
        <patternFill patternType="solid">
          <fgColor rgb="FFFEF08A"/>
          <bgColor rgb="FFFEF08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color rgb="FF000000"/>
        <sz val="10"/>
      </font>
      <fill>
        <patternFill patternType="solid">
          <fgColor rgb="FFDBEAFE"/>
          <bgColor rgb="FFDBEAF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color rgb="FF000000"/>
        <sz val="10"/>
      </font>
      <fill>
        <patternFill patternType="solid">
          <fgColor rgb="FFE5E7EB"/>
          <bgColor rgb="FFE5E7E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color rgb="FF000000"/>
        <sz val="10"/>
      </font>
      <fill>
        <patternFill patternType="solid">
          <fgColor rgb="FFF3F4F6"/>
          <bgColor rgb="FFF3F4F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"/>
  <sheetViews>
    <sheetView tabSelected="1" topLeftCell="B1" zoomScale="69" workbookViewId="0">
      <pane ySplit="1" topLeftCell="A92" activePane="bottomLeft" state="frozen"/>
      <selection pane="bottomLeft" activeCell="M106" sqref="M106:N106"/>
    </sheetView>
  </sheetViews>
  <sheetFormatPr baseColWidth="8" defaultRowHeight="14.5"/>
  <cols>
    <col width="20" customWidth="1" style="31" min="1" max="1"/>
    <col width="26" customWidth="1" style="31" min="2" max="2"/>
    <col width="16" customWidth="1" style="31" min="3" max="4"/>
    <col width="13" customWidth="1" style="6" min="5" max="7"/>
    <col width="16" customWidth="1" style="31" min="8" max="8"/>
    <col width="12" customWidth="1" style="31" min="9" max="9"/>
    <col width="13" customWidth="1" style="31" min="10" max="10"/>
    <col width="20" customWidth="1" style="31" min="11" max="11"/>
    <col width="14" customWidth="1" style="31" min="12" max="13"/>
    <col width="13" customWidth="1" style="31" min="14" max="14"/>
    <col width="28" customWidth="1" style="31" min="15" max="15"/>
    <col width="13" customWidth="1" style="6" min="16" max="16"/>
    <col width="13" customWidth="1" style="31" min="17" max="17"/>
    <col width="12" customWidth="1" style="31" min="18" max="18"/>
    <col width="11" customWidth="1" style="7" min="19" max="19"/>
    <col width="20" customWidth="1" style="31" min="20" max="20"/>
    <col width="11" customWidth="1" style="7" min="21" max="21"/>
    <col width="24" customWidth="1" style="31" min="22" max="22"/>
    <col width="14" customWidth="1" style="31" min="23" max="23"/>
    <col width="22" customWidth="1" style="31" min="24" max="26"/>
    <col width="30" customWidth="1" style="31" min="27" max="27"/>
  </cols>
  <sheetData>
    <row r="1" ht="32" customHeight="1" s="31">
      <c r="A1" s="8" t="inlineStr">
        <is>
          <t>Company</t>
        </is>
      </c>
      <c r="B1" s="8" t="inlineStr">
        <is>
          <t>Role / Position</t>
        </is>
      </c>
      <c r="C1" s="8" t="inlineStr">
        <is>
          <t>Type</t>
        </is>
      </c>
      <c r="D1" s="8" t="inlineStr">
        <is>
          <t>Location</t>
        </is>
      </c>
      <c r="E1" s="9" t="inlineStr">
        <is>
          <t>Open Date</t>
        </is>
      </c>
      <c r="F1" s="9" t="inlineStr">
        <is>
          <t>Deadline</t>
        </is>
      </c>
      <c r="G1" s="9" t="inlineStr">
        <is>
          <t>Applied Date</t>
        </is>
      </c>
      <c r="H1" s="8" t="inlineStr">
        <is>
          <t>Source</t>
        </is>
      </c>
      <c r="I1" s="8" t="inlineStr">
        <is>
          <t>Referral</t>
        </is>
      </c>
      <c r="J1" s="8" t="inlineStr">
        <is>
          <t>Cover Letter</t>
        </is>
      </c>
      <c r="K1" s="8" t="inlineStr">
        <is>
          <t>Assessment Stage</t>
        </is>
      </c>
      <c r="L1" s="8" t="inlineStr">
        <is>
          <t>Interview Date</t>
        </is>
      </c>
      <c r="M1" s="8" t="inlineStr">
        <is>
          <t>Status</t>
        </is>
      </c>
      <c r="N1" s="8" t="inlineStr">
        <is>
          <t>Outcome Date</t>
        </is>
      </c>
      <c r="O1" s="8" t="inlineStr">
        <is>
          <t>Reason</t>
        </is>
      </c>
      <c r="P1" s="9" t="inlineStr">
        <is>
          <t>Start Date</t>
        </is>
      </c>
      <c r="Q1" s="10" t="inlineStr">
        <is>
          <t>End Date</t>
        </is>
      </c>
      <c r="R1" s="11" t="inlineStr">
        <is>
          <t>Duration</t>
        </is>
      </c>
      <c r="S1" s="8" t="inlineStr">
        <is>
          <t>Contact / Recruiter</t>
        </is>
      </c>
      <c r="T1" s="8" t="inlineStr">
        <is>
          <t>Salary</t>
        </is>
      </c>
      <c r="U1" s="12" t="inlineStr">
        <is>
          <t>Vacancies</t>
        </is>
      </c>
      <c r="V1" s="8" t="inlineStr">
        <is>
          <t>Work Rights Required</t>
        </is>
      </c>
      <c r="W1" s="8" t="inlineStr">
        <is>
          <t>Priority</t>
        </is>
      </c>
      <c r="X1" s="8" t="inlineStr">
        <is>
          <t>Next Action</t>
        </is>
      </c>
      <c r="Y1" s="8" t="inlineStr">
        <is>
          <t>Follow-up Date</t>
        </is>
      </c>
      <c r="Z1" s="8" t="inlineStr">
        <is>
          <t>Portal Link</t>
        </is>
      </c>
      <c r="AA1" s="8" t="inlineStr">
        <is>
          <t>Resume - Experience</t>
        </is>
      </c>
      <c r="AB1" s="8" t="inlineStr">
        <is>
          <t>Resume - Projects</t>
        </is>
      </c>
      <c r="AC1" s="8" t="inlineStr">
        <is>
          <t>Notes</t>
        </is>
      </c>
    </row>
    <row r="2" ht="19.5" customHeight="1" s="31">
      <c r="A2" s="13" t="inlineStr">
        <is>
          <t>bank of america</t>
        </is>
      </c>
      <c r="B2" s="13" t="inlineStr">
        <is>
          <t>Global Technology Summer Analyst</t>
        </is>
      </c>
      <c r="C2" s="13" t="inlineStr">
        <is>
          <t>Internship</t>
        </is>
      </c>
      <c r="D2" s="13" t="inlineStr">
        <is>
          <t>NSW</t>
        </is>
      </c>
      <c r="E2" s="13" t="n"/>
      <c r="F2" s="14" t="n">
        <v>46231</v>
      </c>
      <c r="G2" s="14" t="n">
        <v>46121</v>
      </c>
      <c r="H2" s="13" t="inlineStr">
        <is>
          <t>Prosple</t>
        </is>
      </c>
      <c r="I2" s="13" t="n"/>
      <c r="J2" s="13" t="n"/>
      <c r="K2" s="13" t="n"/>
      <c r="L2" s="13" t="n"/>
      <c r="M2" s="13" t="inlineStr">
        <is>
          <t>Rejected</t>
        </is>
      </c>
      <c r="N2" s="13" t="n"/>
      <c r="O2" s="13" t="n"/>
      <c r="P2" s="13" t="n"/>
      <c r="Q2" s="15" t="n"/>
      <c r="R2" s="16">
        <f>IF(AND(P2&lt;&gt;"",Q2&lt;&gt;""),Q2-P2,"")</f>
        <v/>
      </c>
      <c r="S2" s="13" t="n"/>
      <c r="T2" s="13" t="n"/>
      <c r="U2" s="20" t="n"/>
      <c r="V2" s="13" t="inlineStr">
        <is>
          <t>No</t>
        </is>
      </c>
      <c r="W2" s="13" t="n"/>
      <c r="X2" s="13" t="n"/>
      <c r="Y2" s="13" t="n"/>
      <c r="Z2" s="13" t="n"/>
      <c r="AA2" s="13" t="inlineStr">
        <is>
          <t>NDIS Quality and Safeguards Commission Data Analyst Intern</t>
        </is>
      </c>
      <c r="AB2" s="13" t="inlineStr">
        <is>
          <t>Bank Loan Application Tracking Dashboard, Credit Fraud Detection Classifier Analysis, Bitcoin’s Impact on a Portfolio Analysis Report, Stock Prices Forecasting</t>
        </is>
      </c>
      <c r="AC2" s="13" t="n"/>
    </row>
    <row r="3" ht="19.5" customHeight="1" s="31">
      <c r="A3" s="13" t="inlineStr">
        <is>
          <t>capgemini</t>
        </is>
      </c>
      <c r="B3" s="13" t="inlineStr">
        <is>
          <t>Business Analysis</t>
        </is>
      </c>
      <c r="C3" s="13" t="inlineStr">
        <is>
          <t>Graduate Program</t>
        </is>
      </c>
      <c r="D3" s="13" t="inlineStr">
        <is>
          <t>NSW</t>
        </is>
      </c>
      <c r="E3" s="13" t="n"/>
      <c r="F3" s="14" t="n">
        <v>46153</v>
      </c>
      <c r="G3" s="14" t="n">
        <v>46121</v>
      </c>
      <c r="H3" s="13" t="inlineStr">
        <is>
          <t>Prosple</t>
        </is>
      </c>
      <c r="I3" s="13" t="n"/>
      <c r="J3" s="13" t="n"/>
      <c r="K3" s="13" t="n"/>
      <c r="L3" s="13" t="n"/>
      <c r="M3" s="13" t="inlineStr">
        <is>
          <t>Rejected</t>
        </is>
      </c>
      <c r="N3" s="13" t="n"/>
      <c r="O3" s="13" t="n"/>
      <c r="P3" s="13" t="n"/>
      <c r="Q3" s="17" t="n"/>
      <c r="R3" s="18">
        <f>IF(AND(P3&lt;&gt;"",Q3&lt;&gt;""),Q3-P3,"")</f>
        <v/>
      </c>
      <c r="S3" s="13" t="n"/>
      <c r="T3" s="13" t="n"/>
      <c r="U3" s="20" t="n"/>
      <c r="V3" s="13" t="n"/>
      <c r="W3" s="13" t="n"/>
      <c r="X3" s="13" t="n"/>
      <c r="Y3" s="13" t="n"/>
      <c r="Z3" s="13" t="n"/>
      <c r="AA3" s="13" t="inlineStr">
        <is>
          <t>NDIS Quality and Safeguards Commission Data Analyst Intern</t>
        </is>
      </c>
      <c r="AB3" s="13" t="inlineStr">
        <is>
          <t>Vendor Performance &amp; Procurement Analytics Dashboard, Insurance Risk &amp; Claims Analytics Dashboard, Credit Fraud Detection Classifier Analysis, Customer Churn Forecasting Analysis in Telecom Services</t>
        </is>
      </c>
      <c r="AC3" s="13" t="n"/>
    </row>
    <row r="4" ht="19.5" customHeight="1" s="31">
      <c r="A4" s="13" t="inlineStr">
        <is>
          <t>DXC</t>
        </is>
      </c>
      <c r="B4" s="13" t="inlineStr">
        <is>
          <t>Business Analyst business pathway</t>
        </is>
      </c>
      <c r="C4" s="13" t="inlineStr">
        <is>
          <t>Graduate Program</t>
        </is>
      </c>
      <c r="D4" s="13" t="inlineStr">
        <is>
          <t>NSW</t>
        </is>
      </c>
      <c r="E4" s="13" t="n"/>
      <c r="F4" s="14" t="n">
        <v>46125</v>
      </c>
      <c r="G4" s="14" t="n">
        <v>46110</v>
      </c>
      <c r="H4" s="13" t="inlineStr">
        <is>
          <t>Prosple</t>
        </is>
      </c>
      <c r="I4" s="13" t="n"/>
      <c r="J4" s="13" t="n"/>
      <c r="K4" s="13" t="n"/>
      <c r="L4" s="13" t="n"/>
      <c r="M4" s="13" t="inlineStr">
        <is>
          <t>Rejected</t>
        </is>
      </c>
      <c r="N4" s="13" t="n"/>
      <c r="O4" s="13" t="n"/>
      <c r="P4" s="14" t="n">
        <v>46419</v>
      </c>
      <c r="Q4" s="17" t="n"/>
      <c r="R4" s="18">
        <f>IF(AND(P4&lt;&gt;"",Q4&lt;&gt;""),Q4-P4,"")</f>
        <v/>
      </c>
      <c r="S4" s="13" t="n"/>
      <c r="T4" s="13" t="n"/>
      <c r="U4" s="20" t="n"/>
      <c r="V4" s="13" t="n"/>
      <c r="W4" s="13" t="n"/>
      <c r="X4" s="13" t="n"/>
      <c r="Y4" s="13" t="n"/>
      <c r="Z4" s="13" t="n"/>
      <c r="AA4" s="13" t="inlineStr">
        <is>
          <t>NDIS Quality and Safeguards Commission Data Analyst Intern</t>
        </is>
      </c>
      <c r="AB4" s="13" t="inlineStr">
        <is>
          <t>Insurance Risk &amp; Claims Analytics Dashboard, Bank Fraud Transaction Monitoring Dashboard, Customer Segmentation in Bank Campaigns Presentation, Customer Churn Forecasting Analysis in Telecom Services</t>
        </is>
      </c>
      <c r="AC4" s="13" t="n"/>
    </row>
    <row r="5" ht="19.5" customHeight="1" s="31">
      <c r="A5" s="13" t="inlineStr">
        <is>
          <t>grant thornton</t>
        </is>
      </c>
      <c r="B5" s="13" t="inlineStr">
        <is>
          <t>data analytics</t>
        </is>
      </c>
      <c r="C5" s="13" t="inlineStr">
        <is>
          <t>Graduate Program</t>
        </is>
      </c>
      <c r="D5" s="13" t="inlineStr">
        <is>
          <t>NSW</t>
        </is>
      </c>
      <c r="E5" s="13" t="n"/>
      <c r="F5" s="14" t="n">
        <v>46118</v>
      </c>
      <c r="G5" s="14" t="n">
        <v>46111</v>
      </c>
      <c r="H5" s="13" t="inlineStr">
        <is>
          <t>Prosple</t>
        </is>
      </c>
      <c r="I5" s="13" t="n"/>
      <c r="J5" s="13" t="n"/>
      <c r="K5" s="13" t="n"/>
      <c r="L5" s="13" t="n"/>
      <c r="M5" s="13" t="inlineStr">
        <is>
          <t>Rejected</t>
        </is>
      </c>
      <c r="N5" s="13" t="n"/>
      <c r="O5" s="13" t="n"/>
      <c r="P5" s="13" t="n"/>
      <c r="Q5" s="17" t="n"/>
      <c r="R5" s="18">
        <f>IF(AND(P5&lt;&gt;"",Q5&lt;&gt;""),Q5-P5,"")</f>
        <v/>
      </c>
      <c r="S5" s="13" t="n"/>
      <c r="T5" s="13" t="n"/>
      <c r="U5" s="20" t="n"/>
      <c r="V5" s="13" t="n"/>
      <c r="W5" s="13" t="n"/>
      <c r="X5" s="13" t="n"/>
      <c r="Y5" s="13" t="n"/>
      <c r="Z5" s="13" t="n"/>
      <c r="AA5" s="13" t="inlineStr">
        <is>
          <t>NDIS Quality and Safeguards Commission Data Analyst Intern</t>
        </is>
      </c>
      <c r="AB5" s="13" t="inlineStr">
        <is>
          <t>Insurance Risk &amp; Claims Analytics Dashboard, Credit Fraud Detection Classifier Analysis, Customer Segmentation in Bank Campaigns Presentation, Customer Churn Forecasting Analysis in Telecom Services</t>
        </is>
      </c>
      <c r="AC5" s="13" t="n"/>
    </row>
    <row r="6" ht="18" customHeight="1" s="31">
      <c r="A6" s="13" t="inlineStr">
        <is>
          <t>accenture</t>
        </is>
      </c>
      <c r="B6" s="13" t="inlineStr">
        <is>
          <t>management analyst Consulting Analyst/Graduate Program 2027 – Australia and New Zealand</t>
        </is>
      </c>
      <c r="C6" s="13" t="inlineStr">
        <is>
          <t>Graduate Program</t>
        </is>
      </c>
      <c r="D6" s="13" t="inlineStr">
        <is>
          <t>NSW</t>
        </is>
      </c>
      <c r="E6" s="13" t="n"/>
      <c r="F6" s="14" t="n">
        <v>46107</v>
      </c>
      <c r="G6" s="14" t="n">
        <v>46107</v>
      </c>
      <c r="H6" s="13" t="inlineStr">
        <is>
          <t>Prosple</t>
        </is>
      </c>
      <c r="I6" s="13" t="n"/>
      <c r="J6" s="13" t="n"/>
      <c r="K6" s="13" t="n"/>
      <c r="L6" s="13" t="n"/>
      <c r="M6" s="13" t="inlineStr">
        <is>
          <t>Rejected</t>
        </is>
      </c>
      <c r="N6" s="13" t="n"/>
      <c r="O6" s="13" t="n"/>
      <c r="P6" s="13" t="n"/>
      <c r="Q6" s="17" t="n"/>
      <c r="R6" s="18">
        <f>IF(AND(P6&lt;&gt;"",Q6&lt;&gt;""),Q6-P6,"")</f>
        <v/>
      </c>
      <c r="S6" s="13" t="n"/>
      <c r="T6" s="13" t="n"/>
      <c r="U6" s="20" t="n"/>
      <c r="V6" s="13" t="n"/>
      <c r="W6" s="13" t="n"/>
      <c r="X6" s="13" t="n"/>
      <c r="Y6" s="13" t="n"/>
      <c r="Z6" s="13" t="n"/>
      <c r="AA6" s="13" t="inlineStr">
        <is>
          <t>NDIS Quality and Safeguards Commission Data Analyst Intern</t>
        </is>
      </c>
      <c r="AB6" s="13" t="inlineStr">
        <is>
          <t>Insurance Risk &amp; Claims Analytics Dashboard, Bank Loan Application Tracking Dashboard, Customer Churn Forecasting Analysis in Telecom Services, Artist Selection Presentation</t>
        </is>
      </c>
      <c r="AC6" s="13" t="n"/>
    </row>
    <row r="7" ht="18" customHeight="1" s="31">
      <c r="A7" s="13" t="inlineStr">
        <is>
          <t>ADN</t>
        </is>
      </c>
      <c r="B7" s="13" t="inlineStr">
        <is>
          <t>Junior Market Analyst</t>
        </is>
      </c>
      <c r="C7" s="13" t="inlineStr">
        <is>
          <t>Internship</t>
        </is>
      </c>
      <c r="D7" s="13" t="inlineStr">
        <is>
          <t>NSW</t>
        </is>
      </c>
      <c r="E7" s="13" t="n"/>
      <c r="F7" s="14" t="n">
        <v>46129</v>
      </c>
      <c r="G7" s="14" t="n">
        <v>46129</v>
      </c>
      <c r="H7" s="13" t="inlineStr">
        <is>
          <t>Prosple</t>
        </is>
      </c>
      <c r="I7" s="13" t="n"/>
      <c r="J7" s="13" t="n"/>
      <c r="K7" s="13" t="n"/>
      <c r="L7" s="13" t="n"/>
      <c r="M7" s="13" t="inlineStr">
        <is>
          <t>Rejected</t>
        </is>
      </c>
      <c r="N7" s="13" t="n"/>
      <c r="O7" s="13" t="n"/>
      <c r="P7" s="13" t="n"/>
      <c r="Q7" s="17" t="n"/>
      <c r="R7" s="18">
        <f>IF(AND(P7&lt;&gt;"",Q7&lt;&gt;""),Q7-P7,"")</f>
        <v/>
      </c>
      <c r="S7" s="13" t="n"/>
      <c r="T7" s="13" t="n"/>
      <c r="U7" s="20" t="n"/>
      <c r="V7" s="13" t="n"/>
      <c r="W7" s="13" t="n"/>
      <c r="X7" s="13" t="n"/>
      <c r="Y7" s="13" t="n"/>
      <c r="Z7" s="13" t="n"/>
      <c r="AA7" s="13" t="inlineStr">
        <is>
          <t>NDIS Quality and Safeguards Commission Data Analyst Intern</t>
        </is>
      </c>
      <c r="AB7" s="13" t="inlineStr">
        <is>
          <t>Vendor Performance on Marketing Strategies Dashboard, E-commerce Marketing Performance Analytics Dashboard, Meta Ad Performance and Marketing Analytics Dashboard, Bank Loan Application Tracking Dashboard, Customer Segmentation in Marketing Bank Campaigns Presentation</t>
        </is>
      </c>
      <c r="AC7" s="13" t="n"/>
    </row>
    <row r="8" ht="18" customHeight="1" s="31">
      <c r="A8" s="13" t="inlineStr">
        <is>
          <t xml:space="preserve">atlassian </t>
        </is>
      </c>
      <c r="B8" s="13" t="inlineStr">
        <is>
          <t xml:space="preserve">Data Science </t>
        </is>
      </c>
      <c r="C8" s="13" t="inlineStr">
        <is>
          <t>Internship</t>
        </is>
      </c>
      <c r="D8" s="13" t="inlineStr">
        <is>
          <t>Remote</t>
        </is>
      </c>
      <c r="E8" s="13" t="n"/>
      <c r="F8" s="14" t="n">
        <v>46129</v>
      </c>
      <c r="G8" s="14" t="n">
        <v>46106</v>
      </c>
      <c r="H8" s="13" t="inlineStr">
        <is>
          <t>Prosple</t>
        </is>
      </c>
      <c r="I8" s="13" t="n"/>
      <c r="J8" s="13" t="n"/>
      <c r="K8" s="13" t="n"/>
      <c r="L8" s="13" t="n"/>
      <c r="M8" s="13" t="inlineStr">
        <is>
          <t>Rejected</t>
        </is>
      </c>
      <c r="N8" s="13" t="n"/>
      <c r="O8" s="13" t="n"/>
      <c r="P8" s="19" t="inlineStr">
        <is>
          <t>1 Nov 2026 - 30 Nov 2026</t>
        </is>
      </c>
      <c r="Q8" s="17" t="n"/>
      <c r="R8" s="18">
        <f>IF(AND(P8&lt;&gt;"",Q8&lt;&gt;""),Q8-P8,"")</f>
        <v/>
      </c>
      <c r="S8" s="13" t="n"/>
      <c r="T8" s="13" t="n"/>
      <c r="U8" s="20" t="n"/>
      <c r="V8" s="13" t="n"/>
      <c r="W8" s="13" t="n"/>
      <c r="X8" s="13" t="n"/>
      <c r="Y8" s="13" t="n"/>
      <c r="Z8" s="13" t="n"/>
      <c r="AA8" s="13" t="inlineStr">
        <is>
          <t>NDIS Quality and Safeguards Commission Data Analyst Intern</t>
        </is>
      </c>
      <c r="AB8" s="13" t="inlineStr">
        <is>
          <t>Vendor Performance &amp; Procurement Analysis and Dashboard, Credit Fraud Detection Classifier Analysis, Customer Churn Forecasting Analysis in Telecom Services, Amazon Prime Movies and TV Shows Clustering Analysis</t>
        </is>
      </c>
      <c r="AC8" s="13" t="n"/>
    </row>
    <row r="9" ht="18" customHeight="1" s="31">
      <c r="A9" s="13" t="inlineStr">
        <is>
          <t>ausnet</t>
        </is>
      </c>
      <c r="B9" s="13" t="inlineStr">
        <is>
          <t>data analytics</t>
        </is>
      </c>
      <c r="C9" s="13" t="inlineStr">
        <is>
          <t>Graduate Program</t>
        </is>
      </c>
      <c r="D9" s="13" t="inlineStr">
        <is>
          <t>NSW</t>
        </is>
      </c>
      <c r="E9" s="13" t="n"/>
      <c r="F9" s="14" t="n">
        <v>46121</v>
      </c>
      <c r="G9" s="14" t="n">
        <v>46121</v>
      </c>
      <c r="H9" s="13" t="inlineStr">
        <is>
          <t>Prosple</t>
        </is>
      </c>
      <c r="I9" s="13" t="n"/>
      <c r="J9" s="13" t="n"/>
      <c r="K9" s="13" t="n"/>
      <c r="L9" s="13" t="n"/>
      <c r="M9" s="13" t="inlineStr">
        <is>
          <t>Rejected</t>
        </is>
      </c>
      <c r="N9" s="13" t="n"/>
      <c r="O9" s="13" t="n"/>
      <c r="P9" s="13" t="n"/>
      <c r="Q9" s="17" t="n"/>
      <c r="R9" s="18">
        <f>IF(AND(P9&lt;&gt;"",Q9&lt;&gt;""),Q9-P9,"")</f>
        <v/>
      </c>
      <c r="S9" s="13" t="n"/>
      <c r="T9" s="13" t="n"/>
      <c r="U9" s="20" t="n"/>
      <c r="V9" s="13" t="n"/>
      <c r="W9" s="13" t="n"/>
      <c r="X9" s="13" t="n"/>
      <c r="Y9" s="13" t="n"/>
      <c r="Z9" s="13" t="n"/>
      <c r="AA9" s="13" t="inlineStr">
        <is>
          <t>NDIS Quality and Safeguards Commission Data Analyst Intern</t>
        </is>
      </c>
      <c r="AB9" s="13" t="inlineStr">
        <is>
          <t>Bank Fraud Transaction Monitoring Dashboard, Credit Fraud Detection Classifier Analysis, Customer Churn Forecasting Analysis in Telecom Services, Stock Prices Forecasting</t>
        </is>
      </c>
      <c r="AC9" s="13" t="n"/>
    </row>
    <row r="10" ht="18" customHeight="1" s="31">
      <c r="A10" s="13" t="inlineStr">
        <is>
          <t>BDO</t>
        </is>
      </c>
      <c r="B10" s="13" t="inlineStr">
        <is>
          <t>Digital &amp; Technology OR Research and Development</t>
        </is>
      </c>
      <c r="C10" s="13" t="inlineStr">
        <is>
          <t>Graduate Program</t>
        </is>
      </c>
      <c r="D10" s="13" t="inlineStr">
        <is>
          <t>NSW</t>
        </is>
      </c>
      <c r="E10" s="13" t="n"/>
      <c r="F10" s="14" t="n">
        <v>46104</v>
      </c>
      <c r="G10" s="14" t="n">
        <v>46103</v>
      </c>
      <c r="H10" s="13" t="inlineStr">
        <is>
          <t>Prosple</t>
        </is>
      </c>
      <c r="I10" s="13" t="n"/>
      <c r="J10" s="13" t="n"/>
      <c r="K10" s="13" t="n"/>
      <c r="L10" s="13" t="n"/>
      <c r="M10" s="13" t="inlineStr">
        <is>
          <t>Rejected</t>
        </is>
      </c>
      <c r="N10" s="13" t="n"/>
      <c r="O10" s="13" t="n"/>
      <c r="P10" s="14" t="n">
        <v>46405</v>
      </c>
      <c r="Q10" s="17" t="n"/>
      <c r="R10" s="18">
        <f>IF(AND(P10&lt;&gt;"",Q10&lt;&gt;""),Q10-P10,"")</f>
        <v/>
      </c>
      <c r="S10" s="13" t="n"/>
      <c r="T10" s="13" t="inlineStr">
        <is>
          <t>75k</t>
        </is>
      </c>
      <c r="U10" s="20" t="inlineStr">
        <is>
          <t>1-8</t>
        </is>
      </c>
      <c r="V10" s="13" t="n"/>
      <c r="W10" s="13" t="n"/>
      <c r="X10" s="13" t="n"/>
      <c r="Y10" s="13" t="n"/>
      <c r="Z10" s="13" t="n"/>
      <c r="AA10" s="13" t="inlineStr">
        <is>
          <t>NDIS Quality and Safeguards Commission Data Analyst Intern</t>
        </is>
      </c>
      <c r="AB10" s="13" t="inlineStr">
        <is>
          <t xml:space="preserve">Insurance Risk &amp; Claims Analysis Dashboard, Bank Loan Application Tracking Dashboard, Credit Fraud Detection Classifier Analysis </t>
        </is>
      </c>
      <c r="AC10" s="13" t="n"/>
    </row>
    <row r="11" ht="18" customHeight="1" s="31">
      <c r="A11" s="13" t="inlineStr">
        <is>
          <t>coles</t>
        </is>
      </c>
      <c r="B11" s="13" t="inlineStr">
        <is>
          <t>digital stream data and analytics</t>
        </is>
      </c>
      <c r="C11" s="13" t="inlineStr">
        <is>
          <t>Graduate Program</t>
        </is>
      </c>
      <c r="D11" s="13" t="inlineStr">
        <is>
          <t>NSW</t>
        </is>
      </c>
      <c r="E11" s="13" t="n"/>
      <c r="F11" s="14" t="n">
        <v>46124</v>
      </c>
      <c r="G11" s="14" t="n">
        <v>46110</v>
      </c>
      <c r="H11" s="13" t="inlineStr">
        <is>
          <t>Prosple</t>
        </is>
      </c>
      <c r="I11" s="13" t="n"/>
      <c r="J11" s="13" t="n"/>
      <c r="K11" s="13" t="n"/>
      <c r="L11" s="13" t="n"/>
      <c r="M11" s="13" t="inlineStr">
        <is>
          <t>Rejected</t>
        </is>
      </c>
      <c r="N11" s="13" t="n"/>
      <c r="O11" s="13" t="n"/>
      <c r="P11" s="14" t="n">
        <v>46419</v>
      </c>
      <c r="Q11" s="17" t="n"/>
      <c r="R11" s="18">
        <f>IF(AND(P11&lt;&gt;"",Q11&lt;&gt;""),Q11-P11,"")</f>
        <v/>
      </c>
      <c r="S11" s="13" t="n"/>
      <c r="T11" s="13" t="n"/>
      <c r="U11" s="20" t="n"/>
      <c r="V11" s="13" t="n"/>
      <c r="W11" s="13" t="n"/>
      <c r="X11" s="13" t="n"/>
      <c r="Y11" s="13" t="n"/>
      <c r="Z11" s="13" t="n"/>
      <c r="AA11" s="13" t="n"/>
      <c r="AB11" s="13" t="n"/>
      <c r="AC11" s="13" t="n"/>
    </row>
    <row r="12" ht="18" customHeight="1" s="31">
      <c r="A12" s="13" t="inlineStr">
        <is>
          <t>Commonwealth Bank</t>
        </is>
      </c>
      <c r="B12" s="13" t="inlineStr">
        <is>
          <t>Advanced Analytics</t>
        </is>
      </c>
      <c r="C12" s="13" t="inlineStr">
        <is>
          <t>Graduate Program</t>
        </is>
      </c>
      <c r="D12" s="13" t="inlineStr">
        <is>
          <t>NSW</t>
        </is>
      </c>
      <c r="E12" s="13" t="n"/>
      <c r="F12" s="14" t="n">
        <v>46133</v>
      </c>
      <c r="G12" s="14" t="n">
        <v>46121</v>
      </c>
      <c r="H12" s="13" t="inlineStr">
        <is>
          <t>Prosple</t>
        </is>
      </c>
      <c r="I12" s="13" t="n"/>
      <c r="J12" s="13" t="n"/>
      <c r="K12" s="13" t="n"/>
      <c r="L12" s="13" t="n"/>
      <c r="M12" s="13" t="inlineStr">
        <is>
          <t>Rejected</t>
        </is>
      </c>
      <c r="N12" s="13" t="n"/>
      <c r="O12" s="13" t="n"/>
      <c r="P12" s="13" t="n"/>
      <c r="Q12" s="17" t="n"/>
      <c r="R12" s="18">
        <f>IF(AND(P12&lt;&gt;"",Q12&lt;&gt;""),Q12-P12,"")</f>
        <v/>
      </c>
      <c r="S12" s="13" t="n"/>
      <c r="T12" s="13" t="n"/>
      <c r="U12" s="20" t="n"/>
      <c r="V12" s="13" t="n"/>
      <c r="W12" s="13" t="n"/>
      <c r="X12" s="13" t="n"/>
      <c r="Y12" s="13" t="n"/>
      <c r="Z12" s="13" t="n"/>
      <c r="AA12" s="13" t="inlineStr">
        <is>
          <t>NDIS Quality and Safeguards Commission Data Analyst Intern</t>
        </is>
      </c>
      <c r="AB12" s="13" t="inlineStr">
        <is>
          <t>Bank Fraud Transaction Monitoring Dashboard, Bank Loan Application Tracking Dashboard, Credit Fraud Detection Classifier Analysis, Customer Segmentation in Bank Campaigns Presentation</t>
        </is>
      </c>
      <c r="AC12" s="13" t="n"/>
    </row>
    <row r="13" ht="18" customHeight="1" s="31">
      <c r="A13" s="13" t="inlineStr">
        <is>
          <t>Deloitte</t>
        </is>
      </c>
      <c r="B13" s="13" t="inlineStr">
        <is>
          <t>Strategy, Risk &amp; Transactions</t>
        </is>
      </c>
      <c r="C13" s="13" t="inlineStr">
        <is>
          <t>Graduate Program</t>
        </is>
      </c>
      <c r="D13" s="13" t="inlineStr">
        <is>
          <t>NSW</t>
        </is>
      </c>
      <c r="E13" s="13" t="n"/>
      <c r="F13" s="14" t="n">
        <v>46119</v>
      </c>
      <c r="G13" s="14" t="n">
        <v>46106</v>
      </c>
      <c r="H13" s="13" t="inlineStr">
        <is>
          <t>Prosple</t>
        </is>
      </c>
      <c r="I13" s="13" t="n"/>
      <c r="J13" s="13" t="n"/>
      <c r="K13" s="13" t="n"/>
      <c r="L13" s="13" t="n"/>
      <c r="M13" s="13" t="inlineStr">
        <is>
          <t>Rejected</t>
        </is>
      </c>
      <c r="N13" s="13" t="n"/>
      <c r="O13" s="13" t="n"/>
      <c r="P13" s="14" t="n">
        <v>46447</v>
      </c>
      <c r="Q13" s="17" t="n"/>
      <c r="R13" s="18">
        <f>IF(AND(P13&lt;&gt;"",Q13&lt;&gt;""),Q13-P13,"")</f>
        <v/>
      </c>
      <c r="S13" s="13" t="n"/>
      <c r="T13" s="13" t="inlineStr">
        <is>
          <t>67-72k</t>
        </is>
      </c>
      <c r="U13" s="20" t="inlineStr">
        <is>
          <t>1-50</t>
        </is>
      </c>
      <c r="V13" s="13" t="n"/>
      <c r="W13" s="13" t="n"/>
      <c r="X13" s="13" t="n"/>
      <c r="Y13" s="13" t="n"/>
      <c r="Z13" s="13" t="n"/>
      <c r="AA13" s="13" t="inlineStr">
        <is>
          <t>NDIS Quality and Safeguards Commission Data Analyst Intern</t>
        </is>
      </c>
      <c r="AB13" s="13" t="inlineStr">
        <is>
          <t xml:space="preserve">Insurance Risk &amp; Claims Analytics Dashboard, Credit Fraud Detection Classifier Analysis, Bank Loan Application Tracking Dashboard </t>
        </is>
      </c>
      <c r="AC13" s="13" t="n"/>
    </row>
    <row r="14" ht="18" customHeight="1" s="31">
      <c r="A14" s="13" t="inlineStr">
        <is>
          <t>EY</t>
        </is>
      </c>
      <c r="B14" s="13" t="inlineStr">
        <is>
          <t>Consulting now is microsoft or sap not AI and Data</t>
        </is>
      </c>
      <c r="C14" s="13" t="inlineStr">
        <is>
          <t>Graduate Program</t>
        </is>
      </c>
      <c r="D14" s="13" t="inlineStr">
        <is>
          <t>QLD</t>
        </is>
      </c>
      <c r="E14" s="13" t="n"/>
      <c r="F14" s="14" t="n">
        <v>46199</v>
      </c>
      <c r="G14" s="14" t="n">
        <v>46119</v>
      </c>
      <c r="H14" s="13" t="inlineStr">
        <is>
          <t>Prosple</t>
        </is>
      </c>
      <c r="I14" s="13" t="n"/>
      <c r="J14" s="13" t="n"/>
      <c r="K14" s="13" t="n"/>
      <c r="L14" s="13" t="n"/>
      <c r="M14" s="13" t="inlineStr">
        <is>
          <t>Rejected</t>
        </is>
      </c>
      <c r="N14" s="13" t="n"/>
      <c r="O14" s="13" t="n"/>
      <c r="P14" s="14" t="inlineStr">
        <is>
          <t>1 Feb 2027 - 28 Feb 2027</t>
        </is>
      </c>
      <c r="Q14" s="17" t="n"/>
      <c r="R14" s="18">
        <f>IF(AND(P14&lt;&gt;"",Q14&lt;&gt;""),Q14-P14,"")</f>
        <v/>
      </c>
      <c r="S14" s="13" t="n"/>
      <c r="T14" s="13" t="inlineStr">
        <is>
          <t xml:space="preserve"> 64k-90k </t>
        </is>
      </c>
      <c r="U14" s="20" t="inlineStr">
        <is>
          <t>1-100</t>
        </is>
      </c>
      <c r="V14" s="13" t="n"/>
      <c r="W14" s="13" t="n"/>
      <c r="X14" s="13" t="n"/>
      <c r="Y14" s="13" t="n"/>
      <c r="Z14" s="13" t="n"/>
      <c r="AA14" s="13" t="inlineStr">
        <is>
          <t>NDIS Quality and Safeguards Commission Data Analyst Intern</t>
        </is>
      </c>
      <c r="AB14" s="13" t="inlineStr">
        <is>
          <t>Vendor Performance &amp; Procurement Analytics Dashboard, Credit Fraud Detection Classifier Analysis, Customer Churn Forecasting Analysis in Telecom Services, Stock Prices Forecasting Analysis Report</t>
        </is>
      </c>
      <c r="AC14" s="13" t="n"/>
    </row>
    <row r="15" ht="18" customHeight="1" s="31">
      <c r="A15" s="13" t="inlineStr">
        <is>
          <t>GOVERNMENT</t>
        </is>
      </c>
      <c r="B15" s="13" t="inlineStr">
        <is>
          <t>Data</t>
        </is>
      </c>
      <c r="C15" s="13" t="inlineStr">
        <is>
          <t>Graduate Program</t>
        </is>
      </c>
      <c r="D15" s="13" t="inlineStr">
        <is>
          <t>QLD</t>
        </is>
      </c>
      <c r="E15" s="13" t="n"/>
      <c r="F15" s="14" t="n">
        <v>46112</v>
      </c>
      <c r="G15" s="14" t="n">
        <v>46106</v>
      </c>
      <c r="H15" s="13" t="inlineStr">
        <is>
          <t>Prosple</t>
        </is>
      </c>
      <c r="I15" s="13" t="n"/>
      <c r="J15" s="13" t="n"/>
      <c r="K15" s="13" t="n"/>
      <c r="L15" s="13" t="n"/>
      <c r="M15" s="13" t="inlineStr">
        <is>
          <t>Rejected</t>
        </is>
      </c>
      <c r="N15" s="13" t="n"/>
      <c r="O15" s="13" t="n"/>
      <c r="P15" s="14" t="n">
        <v>46415</v>
      </c>
      <c r="Q15" s="17" t="n"/>
      <c r="R15" s="18">
        <f>IF(AND(P15&lt;&gt;"",Q15&lt;&gt;""),Q15-P15,"")</f>
        <v/>
      </c>
      <c r="S15" s="13" t="n"/>
      <c r="T15" s="13" t="inlineStr">
        <is>
          <t>84k</t>
        </is>
      </c>
      <c r="U15" s="20" t="inlineStr">
        <is>
          <t>2-3</t>
        </is>
      </c>
      <c r="V15" s="13" t="n"/>
      <c r="W15" s="13" t="n"/>
      <c r="X15" s="13" t="n"/>
      <c r="Y15" s="13" t="n"/>
      <c r="Z15" s="13" t="n"/>
      <c r="AA15" s="13" t="inlineStr">
        <is>
          <t>NDIS Quality and Safeguards Commission Data Analyst Intern</t>
        </is>
      </c>
      <c r="AB15" s="13" t="inlineStr">
        <is>
          <t>Insurance Risk &amp; Claims Analytics Dashboard, Bank Loan Application Tracking Dashboard, Credit Fraud Detection Classifier Analysis</t>
        </is>
      </c>
      <c r="AC15" s="13" t="n"/>
    </row>
    <row r="16" ht="18" customHeight="1" s="31">
      <c r="A16" s="13" t="inlineStr">
        <is>
          <t>Hoyoverse</t>
        </is>
      </c>
      <c r="B16" s="13" t="inlineStr">
        <is>
          <t xml:space="preserve">data analyst </t>
        </is>
      </c>
      <c r="C16" s="13" t="inlineStr">
        <is>
          <t>Internship</t>
        </is>
      </c>
      <c r="D16" s="13" t="inlineStr">
        <is>
          <t>Singapore</t>
        </is>
      </c>
      <c r="E16" s="13" t="n"/>
      <c r="F16" s="14" t="n">
        <v>46096</v>
      </c>
      <c r="G16" s="14" t="n">
        <v>46096</v>
      </c>
      <c r="H16" s="13" t="inlineStr">
        <is>
          <t>Prosple</t>
        </is>
      </c>
      <c r="I16" s="13" t="n"/>
      <c r="J16" s="13" t="n"/>
      <c r="K16" s="13" t="n"/>
      <c r="L16" s="13" t="n"/>
      <c r="M16" s="13" t="inlineStr">
        <is>
          <t>Rejected</t>
        </is>
      </c>
      <c r="N16" s="13" t="n"/>
      <c r="O16" s="13" t="n"/>
      <c r="P16" s="13" t="n"/>
      <c r="Q16" s="17" t="n"/>
      <c r="R16" s="18">
        <f>IF(AND(P16&lt;&gt;"",Q16&lt;&gt;""),Q16-P16,"")</f>
        <v/>
      </c>
      <c r="S16" s="13" t="n"/>
      <c r="T16" s="13" t="n"/>
      <c r="U16" s="20" t="n"/>
      <c r="V16" s="13" t="n"/>
      <c r="W16" s="13" t="n"/>
      <c r="X16" s="13" t="n"/>
      <c r="Y16" s="13" t="n"/>
      <c r="Z16" s="13" t="n"/>
      <c r="AA16" s="13" t="inlineStr">
        <is>
          <t>NDIS Quality and Safeguards Commission Data Analyst Intern</t>
        </is>
      </c>
      <c r="AB16" s="13" t="inlineStr">
        <is>
          <t>Meta Ad Performance &amp; Revenue Analytics Dashboard, Shopify Sales &amp; Customer Funnel Analytics Dashboard, Customer Churn Forecasting Analysis in Telecom Services</t>
        </is>
      </c>
      <c r="AC16" s="13" t="n"/>
    </row>
    <row r="17" ht="18" customHeight="1" s="31">
      <c r="A17" s="13" t="inlineStr">
        <is>
          <t>jane street</t>
        </is>
      </c>
      <c r="B17" s="13" t="inlineStr">
        <is>
          <t>sales and trading</t>
        </is>
      </c>
      <c r="C17" s="13" t="inlineStr">
        <is>
          <t>Internship</t>
        </is>
      </c>
      <c r="D17" s="13" t="inlineStr">
        <is>
          <t>QLD</t>
        </is>
      </c>
      <c r="E17" s="13" t="n"/>
      <c r="F17" s="14" t="n">
        <v>46121</v>
      </c>
      <c r="G17" s="14" t="n">
        <v>46121</v>
      </c>
      <c r="H17" s="13" t="inlineStr">
        <is>
          <t>Prosple</t>
        </is>
      </c>
      <c r="I17" s="13" t="n"/>
      <c r="J17" s="13" t="n"/>
      <c r="K17" s="13" t="n"/>
      <c r="L17" s="13" t="n"/>
      <c r="M17" s="13" t="inlineStr">
        <is>
          <t>Rejected</t>
        </is>
      </c>
      <c r="N17" s="13" t="n"/>
      <c r="O17" s="13" t="n"/>
      <c r="P17" s="13" t="n"/>
      <c r="Q17" s="17" t="n"/>
      <c r="R17" s="18">
        <f>IF(AND(P17&lt;&gt;"",Q17&lt;&gt;""),Q17-P17,"")</f>
        <v/>
      </c>
      <c r="S17" s="13" t="n"/>
      <c r="T17" s="13" t="n"/>
      <c r="U17" s="20" t="n"/>
      <c r="V17" s="13" t="n"/>
      <c r="W17" s="13" t="n"/>
      <c r="X17" s="13" t="n"/>
      <c r="Y17" s="13" t="n"/>
      <c r="Z17" s="13" t="n"/>
      <c r="AA17" s="13" t="inlineStr">
        <is>
          <t>NDIS Quality and Safeguards Commission Data Analyst Intern</t>
        </is>
      </c>
      <c r="AB17" s="13" t="inlineStr">
        <is>
          <t>Amazon Product Sales Analytics Dashboard, Customer Segmentation in Bank Campaigns Presentation, Bitcoin’s Impact on a Portfolio Analysis Report, Stock Prices Forecasting</t>
        </is>
      </c>
      <c r="AC17" s="13" t="n"/>
    </row>
    <row r="18" ht="18" customHeight="1" s="31">
      <c r="A18" s="13" t="inlineStr">
        <is>
          <t>KordaMentha</t>
        </is>
      </c>
      <c r="B18" s="13" t="inlineStr">
        <is>
          <t>Data Analytics</t>
        </is>
      </c>
      <c r="C18" s="13" t="inlineStr">
        <is>
          <t>Graduate Program</t>
        </is>
      </c>
      <c r="D18" s="13" t="inlineStr">
        <is>
          <t>WA</t>
        </is>
      </c>
      <c r="E18" s="13" t="n"/>
      <c r="F18" s="14" t="n">
        <v>46110</v>
      </c>
      <c r="G18" s="14" t="n">
        <v>46108</v>
      </c>
      <c r="H18" s="13" t="inlineStr">
        <is>
          <t>Prosple</t>
        </is>
      </c>
      <c r="I18" s="13" t="n"/>
      <c r="J18" s="13" t="n"/>
      <c r="K18" s="13" t="n"/>
      <c r="L18" s="13" t="n"/>
      <c r="M18" s="13" t="inlineStr">
        <is>
          <t>Rejected</t>
        </is>
      </c>
      <c r="N18" s="13" t="n"/>
      <c r="O18" s="13" t="n"/>
      <c r="P18" s="13" t="n"/>
      <c r="Q18" s="17" t="n"/>
      <c r="R18" s="18">
        <f>IF(AND(P18&lt;&gt;"",Q18&lt;&gt;""),Q18-P18,"")</f>
        <v/>
      </c>
      <c r="S18" s="13" t="n"/>
      <c r="T18" s="13" t="n"/>
      <c r="U18" s="20" t="n"/>
      <c r="V18" s="13" t="n"/>
      <c r="W18" s="13" t="n"/>
      <c r="X18" s="13" t="n"/>
      <c r="Y18" s="13" t="n"/>
      <c r="Z18" s="13" t="n"/>
      <c r="AA18" s="13" t="inlineStr">
        <is>
          <t>NDIS Quality and Safeguards Commission Data Analyst Intern</t>
        </is>
      </c>
      <c r="AB18" s="13" t="inlineStr">
        <is>
          <t xml:space="preserve">Insurance Risk &amp; Claims Analytics Dashboard, Bank Fraud Transaction Monitoring Dashboard, Credit Fraud Detection Classifier Analysis, Bitcoin’s Risk Analysis on a Portfolio Report </t>
        </is>
      </c>
      <c r="AC18" s="13" t="n"/>
    </row>
    <row r="19" ht="18" customHeight="1" s="31">
      <c r="A19" s="13" t="inlineStr">
        <is>
          <t>leidos</t>
        </is>
      </c>
      <c r="B19" s="13" t="inlineStr">
        <is>
          <t>data sciencist</t>
        </is>
      </c>
      <c r="C19" s="13" t="inlineStr">
        <is>
          <t>Graduate Program</t>
        </is>
      </c>
      <c r="D19" s="13" t="inlineStr">
        <is>
          <t>VIC</t>
        </is>
      </c>
      <c r="E19" s="13" t="n"/>
      <c r="F19" s="14" t="n">
        <v>46119</v>
      </c>
      <c r="G19" s="14" t="n">
        <v>46118</v>
      </c>
      <c r="H19" s="13" t="inlineStr">
        <is>
          <t>Prosple</t>
        </is>
      </c>
      <c r="I19" s="13" t="n"/>
      <c r="J19" s="13" t="n"/>
      <c r="K19" s="13" t="n"/>
      <c r="L19" s="13" t="n"/>
      <c r="M19" s="13" t="inlineStr">
        <is>
          <t>Rejected</t>
        </is>
      </c>
      <c r="N19" s="13" t="n"/>
      <c r="O19" s="13" t="n"/>
      <c r="P19" s="13" t="n"/>
      <c r="Q19" s="17" t="n"/>
      <c r="R19" s="18">
        <f>IF(AND(P19&lt;&gt;"",Q19&lt;&gt;""),Q19-P19,"")</f>
        <v/>
      </c>
      <c r="S19" s="13" t="n"/>
      <c r="T19" s="13" t="n"/>
      <c r="U19" s="20" t="n"/>
      <c r="V19" s="13" t="n"/>
      <c r="W19" s="13" t="n"/>
      <c r="X19" s="13" t="n"/>
      <c r="Y19" s="13" t="n"/>
      <c r="Z19" s="13" t="n"/>
      <c r="AA19" s="13" t="inlineStr">
        <is>
          <t>NDIS Quality and Safeguards Commission Data Analyst Intern</t>
        </is>
      </c>
      <c r="AB19" s="13" t="inlineStr">
        <is>
          <t>Vendor Performance &amp; Procurement Analytics Dashboard, Credit Fraud Detection Classifier Analysis, Customer Segmentation in Bank Campaigns Presentation, Home Price Predictor</t>
        </is>
      </c>
      <c r="AC19" s="13" t="n"/>
    </row>
    <row r="20" ht="18" customHeight="1" s="31">
      <c r="A20" s="13" t="inlineStr">
        <is>
          <t>Macquarie</t>
        </is>
      </c>
      <c r="B20" s="13" t="inlineStr">
        <is>
          <t xml:space="preserve">data anlaytics </t>
        </is>
      </c>
      <c r="C20" s="13" t="inlineStr">
        <is>
          <t>Graduate Program</t>
        </is>
      </c>
      <c r="D20" s="13" t="inlineStr">
        <is>
          <t>NSW</t>
        </is>
      </c>
      <c r="E20" s="13" t="n"/>
      <c r="F20" s="14" t="n">
        <v>46126</v>
      </c>
      <c r="G20" s="14" t="n">
        <v>46121</v>
      </c>
      <c r="H20" s="13" t="inlineStr">
        <is>
          <t>Prosple</t>
        </is>
      </c>
      <c r="I20" s="13" t="n"/>
      <c r="J20" s="13" t="n"/>
      <c r="K20" s="13" t="n"/>
      <c r="L20" s="13" t="n"/>
      <c r="M20" s="13" t="inlineStr">
        <is>
          <t>Rejected</t>
        </is>
      </c>
      <c r="N20" s="13" t="n"/>
      <c r="O20" s="13" t="n"/>
      <c r="P20" s="13" t="n"/>
      <c r="Q20" s="17" t="n"/>
      <c r="R20" s="18">
        <f>IF(AND(P20&lt;&gt;"",Q20&lt;&gt;""),Q20-P20,"")</f>
        <v/>
      </c>
      <c r="S20" s="13" t="n"/>
      <c r="T20" s="13" t="n"/>
      <c r="U20" s="20" t="n"/>
      <c r="V20" s="13" t="n"/>
      <c r="W20" s="13" t="n"/>
      <c r="X20" s="13" t="n"/>
      <c r="Y20" s="13" t="n"/>
      <c r="Z20" s="13" t="n"/>
      <c r="AA20" s="13" t="inlineStr">
        <is>
          <t>NDIS Quality and Safeguards Commission Data Analyst Intern</t>
        </is>
      </c>
      <c r="AB20" s="13" t="inlineStr">
        <is>
          <t>Vendor Performance &amp; Procurement Analytics Dashboard, Insurance Risk &amp; Claims Analytics Dashboard, Credit Fraud Detection Classifier Analysis, Customer Churn Forecasting Analysis in Telecom Services</t>
        </is>
      </c>
      <c r="AC20" s="13" t="n"/>
    </row>
    <row r="21" ht="18" customHeight="1" s="31">
      <c r="A21" s="13" t="inlineStr">
        <is>
          <t>mastercard</t>
        </is>
      </c>
      <c r="B21" s="13" t="inlineStr">
        <is>
          <t>performance consultant</t>
        </is>
      </c>
      <c r="C21" s="13" t="inlineStr">
        <is>
          <t>Graduate Program</t>
        </is>
      </c>
      <c r="D21" s="13" t="inlineStr">
        <is>
          <t>NSW</t>
        </is>
      </c>
      <c r="E21" s="13" t="n"/>
      <c r="F21" s="14" t="n">
        <v>46142</v>
      </c>
      <c r="G21" s="14" t="n">
        <v>46142</v>
      </c>
      <c r="H21" s="13" t="inlineStr">
        <is>
          <t>Prosple</t>
        </is>
      </c>
      <c r="I21" s="13" t="n"/>
      <c r="J21" s="13" t="n"/>
      <c r="K21" s="13" t="n"/>
      <c r="L21" s="13" t="n"/>
      <c r="M21" s="13" t="inlineStr">
        <is>
          <t>Rejected</t>
        </is>
      </c>
      <c r="N21" s="13" t="n"/>
      <c r="O21" s="13" t="n"/>
      <c r="P21" s="13" t="n"/>
      <c r="Q21" s="17" t="n"/>
      <c r="R21" s="18">
        <f>IF(AND(P21&lt;&gt;"",Q21&lt;&gt;""),Q21-P21,"")</f>
        <v/>
      </c>
      <c r="S21" s="13" t="n"/>
      <c r="T21" s="13" t="n"/>
      <c r="U21" s="20" t="n"/>
      <c r="V21" s="13" t="n"/>
      <c r="W21" s="13" t="n"/>
      <c r="X21" s="13" t="n"/>
      <c r="Y21" s="13" t="n"/>
      <c r="Z21" s="13" t="n"/>
      <c r="AA21" s="13" t="inlineStr">
        <is>
          <t>NDIS Quality and Safeguards Commission Data Analyst Intern</t>
        </is>
      </c>
      <c r="AB21" s="13" t="inlineStr">
        <is>
          <t>Bank Fraud Transaction Monitoring Dashboard, Sales Performance Analytics Dashboard, Bank Loan Application Tracking Dashboard, Credit Fraud Detection Classifier Analysis</t>
        </is>
      </c>
      <c r="AC21" s="13" t="n"/>
    </row>
    <row r="22" ht="18" customHeight="1" s="31">
      <c r="A22" s="13" t="inlineStr">
        <is>
          <t>Nab</t>
        </is>
      </c>
      <c r="B22" s="13" t="inlineStr">
        <is>
          <t>Digital, Data &amp; AI Data &amp; Analytics</t>
        </is>
      </c>
      <c r="C22" s="13" t="inlineStr">
        <is>
          <t>Graduate Program</t>
        </is>
      </c>
      <c r="D22" s="13" t="inlineStr">
        <is>
          <t>VIC, NSW</t>
        </is>
      </c>
      <c r="E22" s="13" t="n"/>
      <c r="F22" s="14" t="n">
        <v>46110</v>
      </c>
      <c r="G22" s="14" t="n">
        <v>46108</v>
      </c>
      <c r="H22" s="13" t="inlineStr">
        <is>
          <t>Prosple</t>
        </is>
      </c>
      <c r="I22" s="13" t="n"/>
      <c r="J22" s="13" t="n"/>
      <c r="K22" s="13" t="n"/>
      <c r="L22" s="13" t="n"/>
      <c r="M22" s="13" t="inlineStr">
        <is>
          <t>Rejected</t>
        </is>
      </c>
      <c r="N22" s="13" t="n"/>
      <c r="O22" s="13" t="n"/>
      <c r="P22" s="14" t="n">
        <v>46433</v>
      </c>
      <c r="Q22" s="17" t="n"/>
      <c r="R22" s="18">
        <f>IF(AND(P22&lt;&gt;"",Q22&lt;&gt;""),Q22-P22,"")</f>
        <v/>
      </c>
      <c r="S22" s="13" t="n"/>
      <c r="T22" s="13" t="inlineStr">
        <is>
          <t>80k- 90k</t>
        </is>
      </c>
      <c r="U22" s="20" t="inlineStr">
        <is>
          <t>1-5</t>
        </is>
      </c>
      <c r="V22" s="13" t="n"/>
      <c r="W22" s="13" t="n"/>
      <c r="X22" s="13" t="n"/>
      <c r="Y22" s="13" t="n"/>
      <c r="Z22" s="13" t="n"/>
      <c r="AA22" s="13" t="inlineStr">
        <is>
          <t>NDIS Quality and Safeguards Commission Data Analyst Intern</t>
        </is>
      </c>
      <c r="AB22" s="13" t="inlineStr">
        <is>
          <t>Insurance Risk &amp; Claims Analytics Dashboard, Bank Loan Application Tracking Dashboard, Credit Fraud Detection Classifier Analysis, Customer Segmentation in Bank Campaigns Presentation</t>
        </is>
      </c>
      <c r="AC22" s="13" t="n"/>
    </row>
    <row r="23" ht="18" customHeight="1" s="31">
      <c r="A23" s="13" t="inlineStr">
        <is>
          <t>nbn</t>
        </is>
      </c>
      <c r="B23" s="13" t="inlineStr">
        <is>
          <t>strategy</t>
        </is>
      </c>
      <c r="C23" s="13" t="inlineStr">
        <is>
          <t>Graduate Program</t>
        </is>
      </c>
      <c r="D23" s="13" t="inlineStr">
        <is>
          <t>NSW</t>
        </is>
      </c>
      <c r="E23" s="13" t="n"/>
      <c r="F23" s="14" t="n">
        <v>46124</v>
      </c>
      <c r="G23" s="14" t="n">
        <v>46111</v>
      </c>
      <c r="H23" s="13" t="inlineStr">
        <is>
          <t>Prosple</t>
        </is>
      </c>
      <c r="I23" s="13" t="n"/>
      <c r="J23" s="13" t="n"/>
      <c r="K23" s="13" t="n"/>
      <c r="L23" s="13" t="n"/>
      <c r="M23" s="13" t="inlineStr">
        <is>
          <t>Rejected</t>
        </is>
      </c>
      <c r="N23" s="13" t="n"/>
      <c r="O23" s="13" t="n"/>
      <c r="P23" s="13" t="n"/>
      <c r="Q23" s="17" t="n"/>
      <c r="R23" s="18">
        <f>IF(AND(P23&lt;&gt;"",Q23&lt;&gt;""),Q23-P23,"")</f>
        <v/>
      </c>
      <c r="S23" s="13" t="n"/>
      <c r="T23" s="13" t="n"/>
      <c r="U23" s="20" t="n"/>
      <c r="V23" s="13" t="n"/>
      <c r="W23" s="13" t="n"/>
      <c r="X23" s="13" t="n"/>
      <c r="Y23" s="13" t="n"/>
      <c r="Z23" s="13" t="n"/>
      <c r="AA23" s="13" t="inlineStr">
        <is>
          <t>NDIS Quality and Safeguards Commission Data Analyst Intern</t>
        </is>
      </c>
      <c r="AB23" s="13" t="inlineStr">
        <is>
          <t>Vendor Performance &amp; Procurement Analytics Dashboard, Insurance Risk &amp; Claims Analytics Dashboard, Credit Fraud Detection Classifier Analysis, Customer Churn Forecasting</t>
        </is>
      </c>
      <c r="AC23" s="13" t="n"/>
    </row>
    <row r="24" ht="18" customHeight="1" s="31">
      <c r="A24" s="13" t="inlineStr">
        <is>
          <t>Optus</t>
        </is>
      </c>
      <c r="B24" s="13" t="inlineStr">
        <is>
          <t>Data Analytics or digital performance Analytics</t>
        </is>
      </c>
      <c r="C24" s="13" t="inlineStr">
        <is>
          <t>Graduate Program</t>
        </is>
      </c>
      <c r="D24" s="21" t="inlineStr">
        <is>
          <t>NSW</t>
        </is>
      </c>
      <c r="E24" s="13" t="n"/>
      <c r="F24" s="14" t="n">
        <v>46110</v>
      </c>
      <c r="G24" s="14" t="n">
        <v>46109</v>
      </c>
      <c r="H24" s="22" t="inlineStr">
        <is>
          <t>Prosple</t>
        </is>
      </c>
      <c r="I24" s="13" t="n"/>
      <c r="J24" s="13" t="n"/>
      <c r="K24" s="13" t="n"/>
      <c r="L24" s="13" t="n"/>
      <c r="M24" s="13" t="inlineStr">
        <is>
          <t>Rejected</t>
        </is>
      </c>
      <c r="N24" s="13" t="n"/>
      <c r="O24" s="13" t="n"/>
      <c r="P24" s="13" t="n"/>
      <c r="Q24" s="17" t="n"/>
      <c r="R24" s="18">
        <f>IF(AND(P24&lt;&gt;"",Q24&lt;&gt;""),Q24-P24,"")</f>
        <v/>
      </c>
      <c r="S24" s="13" t="n"/>
      <c r="T24" s="13" t="n"/>
      <c r="U24" s="20" t="n"/>
      <c r="V24" s="13" t="n"/>
      <c r="W24" s="13" t="n"/>
      <c r="X24" s="13" t="n"/>
      <c r="Y24" s="13" t="n"/>
      <c r="Z24" s="13" t="n"/>
      <c r="AA24" s="13" t="inlineStr">
        <is>
          <t>NDIS Quality and Safeguards Commission Data Analyst Intern</t>
        </is>
      </c>
      <c r="AB24" s="13" t="inlineStr">
        <is>
          <t>Vendor Performance &amp; Procurement Analytics Dashboard, Meta Ad Performance &amp; Revenue Analytics Dashboard, Customer Churn Forecasting Analysis in Telecom Services, Customer Segmentation in Marketing Bank Campaigns Presentation</t>
        </is>
      </c>
      <c r="AC24" s="13" t="n"/>
    </row>
    <row r="25" ht="18" customHeight="1" s="31">
      <c r="A25" s="13" t="inlineStr">
        <is>
          <t>Pwc</t>
        </is>
      </c>
      <c r="B25" s="13" t="inlineStr">
        <is>
          <t>Data Analytics &amp; AI</t>
        </is>
      </c>
      <c r="C25" s="13" t="inlineStr">
        <is>
          <t>Graduate Program</t>
        </is>
      </c>
      <c r="D25" s="13" t="inlineStr">
        <is>
          <t>VIC, NSW</t>
        </is>
      </c>
      <c r="E25" s="13" t="n"/>
      <c r="F25" s="14" t="n">
        <v>46095</v>
      </c>
      <c r="G25" s="14" t="n">
        <v>46094</v>
      </c>
      <c r="H25" s="13" t="inlineStr">
        <is>
          <t>Prosple</t>
        </is>
      </c>
      <c r="I25" s="13" t="n"/>
      <c r="J25" s="13" t="n"/>
      <c r="K25" s="13" t="n"/>
      <c r="L25" s="13" t="n"/>
      <c r="M25" s="13" t="inlineStr">
        <is>
          <t>Rejected</t>
        </is>
      </c>
      <c r="N25" s="13" t="n"/>
      <c r="O25" s="13" t="n"/>
      <c r="P25" s="14" t="n">
        <v>46433</v>
      </c>
      <c r="Q25" s="17" t="n"/>
      <c r="R25" s="18">
        <f>IF(AND(P25&lt;&gt;"",Q25&lt;&gt;""),Q25-P25,"")</f>
        <v/>
      </c>
      <c r="S25" s="13" t="n"/>
      <c r="T25" s="13" t="inlineStr">
        <is>
          <t>65k-80k</t>
        </is>
      </c>
      <c r="U25" s="20" t="inlineStr">
        <is>
          <t>1-50</t>
        </is>
      </c>
      <c r="V25" s="13" t="n"/>
      <c r="W25" s="13" t="n"/>
      <c r="X25" s="13" t="n"/>
      <c r="Y25" s="13" t="n"/>
      <c r="Z25" s="13" t="n"/>
      <c r="AA25" s="13" t="inlineStr">
        <is>
          <t>NDIS Quality and Safeguards Commission Data Analyst Intern</t>
        </is>
      </c>
      <c r="AB25" s="13" t="inlineStr">
        <is>
          <t>Insurance Risk &amp; Claims Analysis Dashboard, Credit Fraud Detection Classifier, Bank Customer Segmentation</t>
        </is>
      </c>
      <c r="AC25" s="13" t="n"/>
    </row>
    <row r="26" ht="18" customHeight="1" s="31">
      <c r="A26" s="13" t="inlineStr">
        <is>
          <t>quantium</t>
        </is>
      </c>
      <c r="B26" s="13" t="inlineStr">
        <is>
          <t>Data &amp; AI Analyst</t>
        </is>
      </c>
      <c r="C26" s="13" t="inlineStr">
        <is>
          <t>Graduate Program</t>
        </is>
      </c>
      <c r="D26" s="13" t="inlineStr">
        <is>
          <t>NSW</t>
        </is>
      </c>
      <c r="E26" s="13" t="n"/>
      <c r="F26" s="14" t="n">
        <v>46145</v>
      </c>
      <c r="G26" s="14" t="n">
        <v>46106</v>
      </c>
      <c r="H26" s="13" t="inlineStr">
        <is>
          <t>Prosple</t>
        </is>
      </c>
      <c r="I26" s="13" t="n"/>
      <c r="J26" s="13" t="n"/>
      <c r="K26" s="13" t="n"/>
      <c r="L26" s="13" t="n"/>
      <c r="M26" s="13" t="inlineStr">
        <is>
          <t>Rejected</t>
        </is>
      </c>
      <c r="N26" s="13" t="n"/>
      <c r="O26" s="13" t="n"/>
      <c r="P26" s="14" t="inlineStr">
        <is>
          <t>1 Feb 2027 - 22 Feb 2027</t>
        </is>
      </c>
      <c r="Q26" s="17" t="n"/>
      <c r="R26" s="18">
        <f>IF(AND(P26&lt;&gt;"",Q26&lt;&gt;""),Q26-P26,"")</f>
        <v/>
      </c>
      <c r="S26" s="13" t="n"/>
      <c r="T26" s="13" t="inlineStr">
        <is>
          <t>80k-90k</t>
        </is>
      </c>
      <c r="U26" s="20" t="inlineStr">
        <is>
          <t>1-30</t>
        </is>
      </c>
      <c r="V26" s="13" t="n"/>
      <c r="W26" s="13" t="n"/>
      <c r="X26" s="13" t="n"/>
      <c r="Y26" s="13" t="n"/>
      <c r="Z26" s="13" t="n"/>
      <c r="AA26" s="13" t="inlineStr">
        <is>
          <t>NDIS Quality and Safeguards Commission Data Analyst Intern</t>
        </is>
      </c>
      <c r="AB26" s="13" t="inlineStr">
        <is>
          <t>Insurance Risk &amp; Claims Analytics Dashboard, Credit Fraud Detection Classifier Analysis, Customer Churn Forecasting Analysis in Telecom Service</t>
        </is>
      </c>
      <c r="AC26" s="13" t="n"/>
    </row>
    <row r="27" ht="18" customHeight="1" s="31">
      <c r="A27" s="13" t="inlineStr">
        <is>
          <t>reserve bank of australia</t>
        </is>
      </c>
      <c r="B27" s="13" t="inlineStr">
        <is>
          <t>IT business analysis</t>
        </is>
      </c>
      <c r="C27" s="13" t="inlineStr">
        <is>
          <t>Graduate Program</t>
        </is>
      </c>
      <c r="D27" s="13" t="inlineStr">
        <is>
          <t>NSW</t>
        </is>
      </c>
      <c r="E27" s="13" t="n"/>
      <c r="F27" s="14" t="n">
        <v>46118</v>
      </c>
      <c r="G27" s="14" t="n">
        <v>46111</v>
      </c>
      <c r="H27" s="13" t="inlineStr">
        <is>
          <t>Prosple</t>
        </is>
      </c>
      <c r="I27" s="13" t="n"/>
      <c r="J27" s="13" t="n"/>
      <c r="K27" s="13" t="n"/>
      <c r="L27" s="13" t="n"/>
      <c r="M27" s="13" t="inlineStr">
        <is>
          <t>Rejected</t>
        </is>
      </c>
      <c r="N27" s="13" t="n"/>
      <c r="O27" s="13" t="n"/>
      <c r="P27" s="14" t="n">
        <v>46419</v>
      </c>
      <c r="Q27" s="17" t="n"/>
      <c r="R27" s="18">
        <f>IF(AND(P27&lt;&gt;"",Q27&lt;&gt;""),Q27-P27,"")</f>
        <v/>
      </c>
      <c r="S27" s="13" t="n"/>
      <c r="T27" s="13" t="n"/>
      <c r="U27" s="20" t="n"/>
      <c r="V27" s="13" t="n"/>
      <c r="W27" s="13" t="n"/>
      <c r="X27" s="13" t="n"/>
      <c r="Y27" s="13" t="n"/>
      <c r="Z27" s="13" t="n"/>
      <c r="AA27" s="13" t="inlineStr">
        <is>
          <t>NDIS Quality and Safeguards Commission Data Analyst Intern</t>
        </is>
      </c>
      <c r="AB27" s="13" t="inlineStr">
        <is>
          <t>Bank Loan Application Tracking Dashboard, Bank Fraud Transaction Monitoring Dashboard, Credit Fraud Detection Classifier Analysis, Customer Segmentation in Bank Campaigns Presentation</t>
        </is>
      </c>
      <c r="AC27" s="13" t="n"/>
    </row>
    <row r="28" ht="18" customHeight="1" s="31">
      <c r="A28" s="13" t="inlineStr">
        <is>
          <t>SIG</t>
        </is>
      </c>
      <c r="B28" s="13" t="inlineStr">
        <is>
          <t>operations analyst</t>
        </is>
      </c>
      <c r="C28" s="13" t="inlineStr">
        <is>
          <t>Graduate Program</t>
        </is>
      </c>
      <c r="D28" s="13" t="inlineStr">
        <is>
          <t>NSW</t>
        </is>
      </c>
      <c r="E28" s="13" t="n"/>
      <c r="F28" s="14" t="n">
        <v>46121</v>
      </c>
      <c r="G28" s="14" t="n">
        <v>46121</v>
      </c>
      <c r="H28" s="13" t="inlineStr">
        <is>
          <t>Prosple</t>
        </is>
      </c>
      <c r="I28" s="13" t="n"/>
      <c r="J28" s="13" t="n"/>
      <c r="K28" s="13" t="n"/>
      <c r="L28" s="13" t="n"/>
      <c r="M28" s="13" t="inlineStr">
        <is>
          <t>Rejected</t>
        </is>
      </c>
      <c r="N28" s="13" t="n"/>
      <c r="O28" s="13" t="n"/>
      <c r="P28" s="13" t="n"/>
      <c r="Q28" s="17" t="n"/>
      <c r="R28" s="18">
        <f>IF(AND(P28&lt;&gt;"",Q28&lt;&gt;""),Q28-P28,"")</f>
        <v/>
      </c>
      <c r="S28" s="13" t="n"/>
      <c r="T28" s="13" t="n"/>
      <c r="U28" s="20" t="n"/>
      <c r="V28" s="13" t="n"/>
      <c r="W28" s="13" t="n"/>
      <c r="X28" s="13" t="n"/>
      <c r="Y28" s="13" t="n"/>
      <c r="Z28" s="13" t="n"/>
      <c r="AA28" s="13" t="inlineStr">
        <is>
          <t>NDIS Quality and Safeguards Commission Data Analyst Intern</t>
        </is>
      </c>
      <c r="AB28" s="13" t="inlineStr">
        <is>
          <t>Bank Loan Application Tracking Dashboard, Credit Fraud Detection Classifier Analysis, Bitcoin’s Impact on a Portfolio Analysis Report, Stock Prices Forecasting</t>
        </is>
      </c>
      <c r="AC28" s="13" t="n"/>
    </row>
    <row r="29" ht="18" customHeight="1" s="31">
      <c r="A29" s="13" t="inlineStr">
        <is>
          <t>telstra</t>
        </is>
      </c>
      <c r="B29" s="13" t="inlineStr">
        <is>
          <t>strategy data analytics &amp; management</t>
        </is>
      </c>
      <c r="C29" s="13" t="inlineStr">
        <is>
          <t>Graduate Program</t>
        </is>
      </c>
      <c r="D29" s="13" t="inlineStr">
        <is>
          <t>NSW</t>
        </is>
      </c>
      <c r="E29" s="13" t="n"/>
      <c r="F29" s="14" t="n">
        <v>46112</v>
      </c>
      <c r="G29" s="14" t="n">
        <v>46108</v>
      </c>
      <c r="H29" s="13" t="inlineStr">
        <is>
          <t>Prosple</t>
        </is>
      </c>
      <c r="I29" s="13" t="n"/>
      <c r="J29" s="13" t="n"/>
      <c r="K29" s="13" t="n"/>
      <c r="L29" s="13" t="n"/>
      <c r="M29" s="13" t="inlineStr">
        <is>
          <t>Rejected</t>
        </is>
      </c>
      <c r="N29" s="13" t="n"/>
      <c r="O29" s="13" t="n"/>
      <c r="P29" s="13" t="n"/>
      <c r="Q29" s="17" t="n"/>
      <c r="R29" s="18">
        <f>IF(AND(P29&lt;&gt;"",Q29&lt;&gt;""),Q29-P29,"")</f>
        <v/>
      </c>
      <c r="S29" s="13" t="n"/>
      <c r="T29" s="13" t="n"/>
      <c r="U29" s="20" t="n"/>
      <c r="V29" s="13" t="n"/>
      <c r="W29" s="13" t="n"/>
      <c r="X29" s="13" t="n"/>
      <c r="Y29" s="13" t="n"/>
      <c r="Z29" s="13" t="n"/>
      <c r="AA29" s="13" t="inlineStr">
        <is>
          <t>NDIS Quality and Safeguards Commission Data Analyst Intern</t>
        </is>
      </c>
      <c r="AB29" s="13" t="inlineStr">
        <is>
          <t>Customer Churn Forecasting Analysis in Telecom Services, Insurance Risk &amp; Claims Strategy Dashboard, Customer Segmentation in Bank Marketing Campaign Strategies Presentation, E-commerce Marketing Performance Strategy Dashboard</t>
        </is>
      </c>
      <c r="AC29" s="13" t="n"/>
    </row>
    <row r="30" ht="18" customHeight="1" s="31">
      <c r="A30" s="13" t="inlineStr">
        <is>
          <t>UQ</t>
        </is>
      </c>
      <c r="B30" s="13" t="inlineStr">
        <is>
          <t>Data Analyst</t>
        </is>
      </c>
      <c r="C30" s="13" t="inlineStr">
        <is>
          <t>Full-time</t>
        </is>
      </c>
      <c r="D30" s="13" t="inlineStr">
        <is>
          <t>QLD</t>
        </is>
      </c>
      <c r="E30" s="13" t="n"/>
      <c r="F30" s="14" t="n">
        <v>46129</v>
      </c>
      <c r="G30" s="14" t="n">
        <v>46129</v>
      </c>
      <c r="H30" s="13" t="inlineStr">
        <is>
          <t>Prosple</t>
        </is>
      </c>
      <c r="I30" s="13" t="n"/>
      <c r="J30" s="13" t="n"/>
      <c r="K30" s="13" t="n"/>
      <c r="L30" s="13" t="n"/>
      <c r="M30" s="13" t="inlineStr">
        <is>
          <t>Rejected</t>
        </is>
      </c>
      <c r="N30" s="13" t="n"/>
      <c r="O30" s="13" t="n"/>
      <c r="P30" s="14" t="n">
        <v>46129</v>
      </c>
      <c r="Q30" s="17" t="n"/>
      <c r="R30" s="18">
        <f>IF(AND(P30&lt;&gt;"",Q30&lt;&gt;""),Q30-P30,"")</f>
        <v/>
      </c>
      <c r="S30" s="13" t="n"/>
      <c r="T30" s="13" t="inlineStr">
        <is>
          <t>100k</t>
        </is>
      </c>
      <c r="U30" s="20" t="n">
        <v>1</v>
      </c>
      <c r="V30" s="13" t="n"/>
      <c r="W30" s="13" t="n"/>
      <c r="X30" s="13" t="n"/>
      <c r="Y30" s="13" t="n"/>
      <c r="Z30" s="13" t="n"/>
      <c r="AA30" s="13" t="inlineStr">
        <is>
          <t>NDIS Quality and Safeguards Commission Data Analyst Intern</t>
        </is>
      </c>
      <c r="AB30" s="13" t="inlineStr">
        <is>
          <t>Sales Performance Analytics Dashboard, Bank Loan Application Tracking Analytics Dashboard, E-commerce Performance Analytics on Marketing Strategies Dashboard, Insurance Risk &amp; Claims Analytics Dashboard</t>
        </is>
      </c>
      <c r="AC30" s="13" t="n"/>
    </row>
    <row r="31" ht="18" customHeight="1" s="31">
      <c r="A31" s="13" t="inlineStr">
        <is>
          <t>wsp</t>
        </is>
      </c>
      <c r="B31" s="13" t="inlineStr">
        <is>
          <t>Digital &amp; Data Insights</t>
        </is>
      </c>
      <c r="C31" s="13" t="inlineStr">
        <is>
          <t>Graduate Program</t>
        </is>
      </c>
      <c r="D31" s="13" t="inlineStr">
        <is>
          <t>NSW</t>
        </is>
      </c>
      <c r="E31" s="13" t="n"/>
      <c r="F31" s="14" t="n">
        <v>46142</v>
      </c>
      <c r="G31" s="14" t="n">
        <v>46111</v>
      </c>
      <c r="H31" s="13" t="inlineStr">
        <is>
          <t>Prosple</t>
        </is>
      </c>
      <c r="I31" s="13" t="n"/>
      <c r="J31" s="13" t="n"/>
      <c r="K31" s="13" t="n"/>
      <c r="L31" s="13" t="n"/>
      <c r="M31" s="13" t="inlineStr">
        <is>
          <t>Rejected</t>
        </is>
      </c>
      <c r="N31" s="13" t="n"/>
      <c r="O31" s="13" t="n"/>
      <c r="P31" s="13" t="n"/>
      <c r="Q31" s="17" t="n"/>
      <c r="R31" s="18">
        <f>IF(AND(P31&lt;&gt;"",Q31&lt;&gt;""),Q31-P31,"")</f>
        <v/>
      </c>
      <c r="S31" s="13" t="n"/>
      <c r="T31" s="13" t="n"/>
      <c r="U31" s="20" t="n"/>
      <c r="V31" s="13" t="n"/>
      <c r="W31" s="13" t="n"/>
      <c r="X31" s="13" t="n"/>
      <c r="Y31" s="13" t="n"/>
      <c r="Z31" s="13" t="n"/>
      <c r="AA31" s="13" t="inlineStr">
        <is>
          <t>NDIS Quality and Safeguards Commission Data Analyst Intern</t>
        </is>
      </c>
      <c r="AB31" s="13" t="inlineStr">
        <is>
          <t>Vendor Performance &amp; Procurement Analytics Dashboard, Bank Loan Application Tracking Dashboard, Credit Fraud Detection Classifier Analysis, Customer Segmentation in Bank Campaigns Presentation</t>
        </is>
      </c>
      <c r="AC31" s="13" t="n"/>
    </row>
    <row r="32" ht="18" customHeight="1" s="31">
      <c r="A32" s="13" t="inlineStr">
        <is>
          <t>Allianz</t>
        </is>
      </c>
      <c r="B32" s="13" t="inlineStr">
        <is>
          <t>data analytics</t>
        </is>
      </c>
      <c r="C32" s="13" t="inlineStr">
        <is>
          <t>Graduate Program</t>
        </is>
      </c>
      <c r="D32" s="13" t="inlineStr">
        <is>
          <t>NSW</t>
        </is>
      </c>
      <c r="E32" s="13" t="n"/>
      <c r="F32" s="14" t="n">
        <v>46147</v>
      </c>
      <c r="G32" s="13" t="n"/>
      <c r="H32" s="13" t="inlineStr">
        <is>
          <t>Prosple</t>
        </is>
      </c>
      <c r="I32" s="13" t="n"/>
      <c r="J32" s="13" t="n"/>
      <c r="K32" s="13" t="n"/>
      <c r="L32" s="13" t="n"/>
      <c r="M32" s="13" t="inlineStr">
        <is>
          <t>Withdrawn</t>
        </is>
      </c>
      <c r="N32" s="13" t="n"/>
      <c r="O32" s="13" t="n"/>
      <c r="P32" s="13" t="n"/>
      <c r="Q32" s="17" t="n"/>
      <c r="R32" s="18">
        <f>IF(AND(P34&lt;&gt;"",Q34&lt;&gt;""),Q34-P34,"")</f>
        <v/>
      </c>
      <c r="S32" s="13" t="n"/>
      <c r="T32" s="13" t="n"/>
      <c r="U32" s="20" t="n"/>
      <c r="V32" s="13" t="n"/>
      <c r="W32" s="13" t="n"/>
      <c r="X32" s="13" t="n"/>
      <c r="Y32" s="13" t="n"/>
      <c r="Z32" s="13" t="n"/>
      <c r="AA32" s="13" t="n"/>
      <c r="AB32" s="13" t="n"/>
      <c r="AC32" s="13" t="n"/>
    </row>
    <row r="33" ht="18" customHeight="1" s="31">
      <c r="A33" s="13" t="inlineStr">
        <is>
          <t>Qantas</t>
        </is>
      </c>
      <c r="B33" s="13" t="inlineStr">
        <is>
          <t>data &amp; analytics</t>
        </is>
      </c>
      <c r="C33" s="13" t="inlineStr">
        <is>
          <t>Graduate Program</t>
        </is>
      </c>
      <c r="D33" s="21" t="inlineStr">
        <is>
          <t>NSW</t>
        </is>
      </c>
      <c r="E33" s="13" t="n"/>
      <c r="F33" s="14" t="n">
        <v>46166</v>
      </c>
      <c r="G33" s="14" t="n">
        <v>46166</v>
      </c>
      <c r="H33" s="13" t="inlineStr">
        <is>
          <t>Prosple</t>
        </is>
      </c>
      <c r="I33" s="13" t="n"/>
      <c r="J33" s="13" t="n"/>
      <c r="K33" s="13" t="n"/>
      <c r="L33" s="13" t="n"/>
      <c r="M33" s="13" t="inlineStr">
        <is>
          <t>Withdrawn</t>
        </is>
      </c>
      <c r="N33" s="13" t="n"/>
      <c r="O33" s="13" t="n"/>
      <c r="P33" s="13" t="n"/>
      <c r="Q33" s="17" t="n"/>
      <c r="R33" s="18">
        <f>IF(AND(P36&lt;&gt;"",Q36&lt;&gt;""),Q36-P36,"")</f>
        <v/>
      </c>
      <c r="S33" s="13" t="n"/>
      <c r="T33" s="13" t="n"/>
      <c r="U33" s="20" t="n"/>
      <c r="V33" s="13" t="n"/>
      <c r="W33" s="13" t="n"/>
      <c r="X33" s="13" t="n"/>
      <c r="Y33" s="13" t="n"/>
      <c r="Z33" s="13" t="n"/>
      <c r="AA33" s="13" t="inlineStr">
        <is>
          <t>NDIS Quality and Safeguards Commission Data Analyst Intern</t>
        </is>
      </c>
      <c r="AB33" s="13" t="inlineStr">
        <is>
          <t>Hotel Customer Feedback Analytics Dashboard, Shopify Sales &amp; Customer Funnel Analytics Dashboard, Customer Churn Forecasting Analysis in Telecom Services, Customer Segmentation in Marketing Bank Campaigns Presentation</t>
        </is>
      </c>
      <c r="AC33" s="13" t="n"/>
    </row>
    <row r="34" ht="18" customHeight="1" s="31">
      <c r="A34" s="13" t="inlineStr">
        <is>
          <t>RSM</t>
        </is>
      </c>
      <c r="B34" s="13" t="inlineStr">
        <is>
          <t>Data Analytics</t>
        </is>
      </c>
      <c r="C34" s="13" t="inlineStr">
        <is>
          <t>Graduate Program</t>
        </is>
      </c>
      <c r="D34" s="13" t="inlineStr">
        <is>
          <t>VIC</t>
        </is>
      </c>
      <c r="E34" s="13" t="n"/>
      <c r="F34" s="14" t="n">
        <v>46103</v>
      </c>
      <c r="G34" s="14" t="n">
        <v>46102</v>
      </c>
      <c r="H34" s="13" t="inlineStr">
        <is>
          <t>Prosple</t>
        </is>
      </c>
      <c r="I34" s="13" t="n"/>
      <c r="J34" s="13" t="n"/>
      <c r="K34" s="13" t="n"/>
      <c r="L34" s="13" t="n"/>
      <c r="M34" s="13" t="inlineStr">
        <is>
          <t>Withdrawn</t>
        </is>
      </c>
      <c r="N34" s="13" t="n"/>
      <c r="O34" s="13" t="n"/>
      <c r="P34" s="14" t="n">
        <v>46419</v>
      </c>
      <c r="Q34" s="17" t="n"/>
      <c r="R34" s="18">
        <f>IF(AND(P37&lt;&gt;"",Q37&lt;&gt;""),Q37-P37,"")</f>
        <v/>
      </c>
      <c r="S34" s="13" t="n"/>
      <c r="T34" s="13" t="inlineStr">
        <is>
          <t>67-70k</t>
        </is>
      </c>
      <c r="U34" s="20" t="inlineStr">
        <is>
          <t>1-3</t>
        </is>
      </c>
      <c r="V34" s="13" t="n"/>
      <c r="W34" s="13" t="n"/>
      <c r="X34" s="13" t="n"/>
      <c r="Y34" s="13" t="n"/>
      <c r="Z34" s="13" t="n"/>
      <c r="AA34" s="13" t="inlineStr">
        <is>
          <t>NDIS Quality and Safeguards Commission Data Analyst Intern</t>
        </is>
      </c>
      <c r="AB34" s="13" t="inlineStr">
        <is>
          <t>Insurance Risk &amp; Claims Analysis Dashboard, Bank Loan Application Tracking Dashboard, Credit Fraud Detection Classifier</t>
        </is>
      </c>
      <c r="AC34" s="13" t="n"/>
    </row>
    <row r="35" ht="18" customHeight="1" s="31">
      <c r="A35" s="13" t="inlineStr">
        <is>
          <t>city of gold coast</t>
        </is>
      </c>
      <c r="B35" s="13" t="inlineStr">
        <is>
          <t>digital and data</t>
        </is>
      </c>
      <c r="C35" s="13" t="inlineStr">
        <is>
          <t>Graduate Program</t>
        </is>
      </c>
      <c r="D35" s="13" t="inlineStr">
        <is>
          <t>QLD</t>
        </is>
      </c>
      <c r="E35" s="13" t="n"/>
      <c r="F35" s="13" t="n"/>
      <c r="G35" s="13" t="n"/>
      <c r="H35" s="13" t="inlineStr">
        <is>
          <t>Prosple</t>
        </is>
      </c>
      <c r="I35" s="13" t="n"/>
      <c r="J35" s="13" t="n"/>
      <c r="K35" s="13" t="n"/>
      <c r="L35" s="13" t="n"/>
      <c r="M35" s="13" t="inlineStr">
        <is>
          <t>Withdrawn</t>
        </is>
      </c>
      <c r="N35" s="13" t="n"/>
      <c r="O35" s="13" t="n"/>
      <c r="P35" s="13" t="n"/>
      <c r="Q35" s="17" t="n"/>
      <c r="R35" s="18">
        <f>IF(AND(P44&lt;&gt;"",Q44&lt;&gt;""),Q44-P44,"")</f>
        <v/>
      </c>
      <c r="S35" s="13" t="n"/>
      <c r="T35" s="13" t="n"/>
      <c r="U35" s="20" t="n"/>
      <c r="V35" s="13" t="n"/>
      <c r="W35" s="13" t="n"/>
      <c r="X35" s="13" t="n"/>
      <c r="Y35" s="13" t="n"/>
      <c r="Z35" s="13" t="n"/>
      <c r="AA35" s="13" t="n"/>
      <c r="AB35" s="13" t="n"/>
      <c r="AC35" s="13" t="n"/>
    </row>
    <row r="36" ht="18" customHeight="1" s="31">
      <c r="A36" s="13" t="inlineStr">
        <is>
          <t>commbank</t>
        </is>
      </c>
      <c r="B36" s="13" t="inlineStr">
        <is>
          <t>tech ai engineering data science &amp; ai</t>
        </is>
      </c>
      <c r="C36" s="13" t="inlineStr">
        <is>
          <t>Internship</t>
        </is>
      </c>
      <c r="D36" s="13" t="inlineStr">
        <is>
          <t>VIC</t>
        </is>
      </c>
      <c r="E36" s="13" t="n"/>
      <c r="F36" s="13" t="n"/>
      <c r="G36" s="13" t="n"/>
      <c r="H36" s="13" t="inlineStr">
        <is>
          <t>Prosple</t>
        </is>
      </c>
      <c r="I36" s="13" t="n"/>
      <c r="J36" s="13" t="n"/>
      <c r="K36" s="13" t="n"/>
      <c r="L36" s="13" t="n"/>
      <c r="M36" s="13" t="inlineStr">
        <is>
          <t>Withdrawn</t>
        </is>
      </c>
      <c r="N36" s="13" t="n"/>
      <c r="O36" s="13" t="n"/>
      <c r="P36" s="14" t="n">
        <v>46349</v>
      </c>
      <c r="Q36" s="17" t="n"/>
      <c r="R36" s="18">
        <f>IF(AND(P45&lt;&gt;"",Q45&lt;&gt;""),Q45-P45,"")</f>
        <v/>
      </c>
      <c r="S36" s="13" t="n"/>
      <c r="T36" s="13" t="inlineStr">
        <is>
          <t>65k</t>
        </is>
      </c>
      <c r="U36" s="20" t="n"/>
      <c r="V36" s="13" t="n"/>
      <c r="W36" s="13" t="n"/>
      <c r="X36" s="13" t="n"/>
      <c r="Y36" s="13" t="n"/>
      <c r="Z36" s="13" t="n"/>
      <c r="AA36" s="13" t="n"/>
      <c r="AB36" s="13" t="n"/>
      <c r="AC36" s="13" t="n"/>
    </row>
    <row r="37" ht="18" customHeight="1" s="31">
      <c r="A37" s="13" t="inlineStr">
        <is>
          <t>eightcap</t>
        </is>
      </c>
      <c r="B37" s="13" t="inlineStr">
        <is>
          <t>operations analyst</t>
        </is>
      </c>
      <c r="C37" s="13" t="inlineStr">
        <is>
          <t>Graduate Program</t>
        </is>
      </c>
      <c r="D37" s="13" t="inlineStr">
        <is>
          <t>NSW</t>
        </is>
      </c>
      <c r="E37" s="13" t="n"/>
      <c r="F37" s="13" t="n"/>
      <c r="G37" s="13" t="n"/>
      <c r="H37" s="13" t="inlineStr">
        <is>
          <t>Prosple</t>
        </is>
      </c>
      <c r="I37" s="13" t="n"/>
      <c r="J37" s="13" t="n"/>
      <c r="K37" s="13" t="n"/>
      <c r="L37" s="13" t="n"/>
      <c r="M37" s="13" t="inlineStr">
        <is>
          <t>Withdrawn</t>
        </is>
      </c>
      <c r="N37" s="13" t="n"/>
      <c r="O37" s="13" t="n"/>
      <c r="P37" s="13" t="n"/>
      <c r="Q37" s="17" t="n"/>
      <c r="R37" s="18">
        <f>IF(AND(P48&lt;&gt;"",Q48&lt;&gt;""),Q48-P48,"")</f>
        <v/>
      </c>
      <c r="S37" s="13" t="n"/>
      <c r="T37" s="13" t="n"/>
      <c r="U37" s="20" t="n"/>
      <c r="V37" s="13" t="n"/>
      <c r="W37" s="13" t="n"/>
      <c r="X37" s="13" t="n"/>
      <c r="Y37" s="13" t="n"/>
      <c r="Z37" s="13" t="n"/>
      <c r="AA37" s="13" t="n"/>
      <c r="AB37" s="13" t="n"/>
      <c r="AC37" s="13" t="n"/>
    </row>
    <row r="38" ht="18" customHeight="1" s="31">
      <c r="A38" s="13" t="inlineStr">
        <is>
          <t>loreal</t>
        </is>
      </c>
      <c r="B38" s="13" t="inlineStr">
        <is>
          <t>Management Trainee Program – Data &amp; Analytics Stream</t>
        </is>
      </c>
      <c r="C38" s="13" t="inlineStr">
        <is>
          <t>Graduate Program</t>
        </is>
      </c>
      <c r="D38" s="13" t="inlineStr">
        <is>
          <t>VIC</t>
        </is>
      </c>
      <c r="E38" s="13" t="n"/>
      <c r="F38" s="14" t="n">
        <v>46093</v>
      </c>
      <c r="G38" s="33" t="n">
        <v>46277</v>
      </c>
      <c r="H38" s="13" t="inlineStr">
        <is>
          <t>Prosple</t>
        </is>
      </c>
      <c r="I38" s="13" t="n"/>
      <c r="J38" s="13" t="n"/>
      <c r="K38" s="13" t="n"/>
      <c r="L38" s="13" t="n"/>
      <c r="M38" s="13" t="inlineStr">
        <is>
          <t>Rejected</t>
        </is>
      </c>
      <c r="N38" s="13" t="n"/>
      <c r="O38" s="13" t="n"/>
      <c r="P38" s="14" t="n">
        <v>46416</v>
      </c>
      <c r="Q38" s="17" t="n"/>
      <c r="R38" s="18">
        <f>IF(AND(P60&lt;&gt;"",Q60&lt;&gt;""),Q60-P60,"")</f>
        <v/>
      </c>
      <c r="S38" s="13" t="n"/>
      <c r="T38" s="13" t="inlineStr">
        <is>
          <t>66k-75k</t>
        </is>
      </c>
      <c r="U38" s="20" t="inlineStr">
        <is>
          <t>1-3</t>
        </is>
      </c>
      <c r="V38" s="13" t="n"/>
      <c r="W38" s="13" t="n"/>
      <c r="X38" s="13" t="n"/>
      <c r="Y38" s="13" t="n"/>
      <c r="Z38" s="13" t="n"/>
      <c r="AA38" s="13" t="n"/>
      <c r="AB38" s="13" t="n"/>
      <c r="AC38" s="13" t="n"/>
    </row>
    <row r="39" ht="18" customHeight="1" s="31">
      <c r="A39" s="13" t="inlineStr">
        <is>
          <t>origin</t>
        </is>
      </c>
      <c r="B39" s="13" t="inlineStr">
        <is>
          <t>business analyst</t>
        </is>
      </c>
      <c r="C39" s="13" t="inlineStr">
        <is>
          <t>Graduate Program</t>
        </is>
      </c>
      <c r="D39" s="13" t="inlineStr">
        <is>
          <t>NSW</t>
        </is>
      </c>
      <c r="E39" s="13" t="n"/>
      <c r="F39" s="14" t="n">
        <v>46166</v>
      </c>
      <c r="G39" s="14" t="n">
        <v>46166</v>
      </c>
      <c r="H39" s="13" t="inlineStr">
        <is>
          <t>Prosple</t>
        </is>
      </c>
      <c r="I39" s="13" t="n"/>
      <c r="J39" s="13" t="n"/>
      <c r="K39" s="13" t="n"/>
      <c r="L39" s="13" t="n"/>
      <c r="M39" s="13" t="inlineStr">
        <is>
          <t>Rejected</t>
        </is>
      </c>
      <c r="N39" s="13" t="n"/>
      <c r="O39" s="13" t="n"/>
      <c r="P39" s="13" t="n"/>
      <c r="Q39" s="17" t="n"/>
      <c r="R39" s="18">
        <f>IF(AND(P71&lt;&gt;"",Q71&lt;&gt;""),Q71-P71,"")</f>
        <v/>
      </c>
      <c r="S39" s="13" t="n"/>
      <c r="T39" s="13" t="n"/>
      <c r="U39" s="20" t="n"/>
      <c r="V39" s="13" t="n"/>
      <c r="W39" s="13" t="n"/>
      <c r="X39" s="13" t="n"/>
      <c r="Y39" s="13" t="n"/>
      <c r="Z39" s="13" t="n"/>
      <c r="AA39" s="13" t="inlineStr">
        <is>
          <t>NDIS Quality and Safeguards Commission Data Analyst Intern</t>
        </is>
      </c>
      <c r="AB39" s="13" t="inlineStr">
        <is>
          <t>Customer Churn Forecasting Analysis in Telecom Services, Insurance Risk &amp; Claims Analytics Dashboard, Vendor Performance Analytics Dashboard, Credit Fraud Detection Classifier Analysis</t>
        </is>
      </c>
      <c r="AC39" s="13" t="n"/>
    </row>
    <row r="40" ht="18" customHeight="1" s="31">
      <c r="A40" s="13" t="inlineStr">
        <is>
          <t>evolution mining</t>
        </is>
      </c>
      <c r="B40" s="13" t="inlineStr">
        <is>
          <t>people and culture</t>
        </is>
      </c>
      <c r="C40" s="13" t="inlineStr">
        <is>
          <t>Internship</t>
        </is>
      </c>
      <c r="D40" s="13" t="inlineStr">
        <is>
          <t>NSW</t>
        </is>
      </c>
      <c r="E40" s="13" t="n"/>
      <c r="F40" s="13" t="n"/>
      <c r="G40" s="14" t="n">
        <v>46096</v>
      </c>
      <c r="H40" s="13" t="inlineStr">
        <is>
          <t>Prosple</t>
        </is>
      </c>
      <c r="I40" s="13" t="n"/>
      <c r="J40" s="13" t="inlineStr">
        <is>
          <t>Yes</t>
        </is>
      </c>
      <c r="K40" s="13" t="n"/>
      <c r="L40" s="13" t="n"/>
      <c r="M40" s="13" t="inlineStr">
        <is>
          <t>Applied</t>
        </is>
      </c>
      <c r="N40" s="13" t="n"/>
      <c r="O40" s="13" t="n"/>
      <c r="P40" s="14" t="inlineStr">
        <is>
          <t>12/1/2026 - 12/31/2026</t>
        </is>
      </c>
      <c r="Q40" s="17" t="n"/>
      <c r="R40" s="28" t="inlineStr">
        <is>
          <t>12 weeks</t>
        </is>
      </c>
      <c r="S40" s="13" t="n"/>
      <c r="T40" s="13" t="n"/>
      <c r="U40" s="20" t="n"/>
      <c r="V40" s="13" t="n"/>
      <c r="W40" s="13" t="n"/>
      <c r="X40" s="13" t="n"/>
      <c r="Y40" s="13" t="n"/>
      <c r="Z40" s="13" t="n"/>
      <c r="AA40" s="13" t="n"/>
      <c r="AB40" s="13" t="n"/>
      <c r="AC40" s="13" t="n"/>
    </row>
    <row r="41" ht="18" customHeight="1" s="31">
      <c r="A41" s="13" t="inlineStr">
        <is>
          <t>suncorp</t>
        </is>
      </c>
      <c r="B41" s="13" t="inlineStr">
        <is>
          <t>business analysis non technical</t>
        </is>
      </c>
      <c r="C41" s="13" t="inlineStr">
        <is>
          <t>Internship</t>
        </is>
      </c>
      <c r="D41" s="13" t="inlineStr">
        <is>
          <t>QLD</t>
        </is>
      </c>
      <c r="E41" s="13" t="n"/>
      <c r="F41" s="13" t="n"/>
      <c r="G41" s="14" t="n">
        <v>46096</v>
      </c>
      <c r="H41" s="13" t="inlineStr">
        <is>
          <t>Prosple</t>
        </is>
      </c>
      <c r="I41" s="13" t="n"/>
      <c r="J41" s="13" t="inlineStr">
        <is>
          <t>Yes</t>
        </is>
      </c>
      <c r="K41" s="13" t="inlineStr">
        <is>
          <t>yes</t>
        </is>
      </c>
      <c r="L41" s="13" t="n"/>
      <c r="M41" s="13" t="inlineStr">
        <is>
          <t>Rejected</t>
        </is>
      </c>
      <c r="N41" s="13" t="n"/>
      <c r="O41" s="13" t="n"/>
      <c r="P41" s="14" t="n">
        <v>46350</v>
      </c>
      <c r="Q41" s="17" t="n">
        <v>46430</v>
      </c>
      <c r="R41" s="28" t="inlineStr">
        <is>
          <t>12 weeks</t>
        </is>
      </c>
      <c r="S41" s="13" t="n"/>
      <c r="T41" s="13" t="n">
        <v>37.92</v>
      </c>
      <c r="U41" s="20" t="n"/>
      <c r="V41" s="13" t="n"/>
      <c r="W41" s="13" t="n"/>
      <c r="X41" s="13" t="n"/>
      <c r="Y41" s="13" t="n"/>
      <c r="Z41" s="13" t="n"/>
      <c r="AA41" s="13" t="n"/>
      <c r="AB41" s="13" t="n"/>
      <c r="AC41" s="13" t="n"/>
    </row>
    <row r="42" ht="18" customHeight="1" s="31">
      <c r="A42" s="13" t="inlineStr">
        <is>
          <t>ARUP</t>
        </is>
      </c>
      <c r="B42" s="13" t="inlineStr">
        <is>
          <t>digital advisory</t>
        </is>
      </c>
      <c r="C42" s="13" t="inlineStr">
        <is>
          <t>Internship</t>
        </is>
      </c>
      <c r="D42" s="13" t="inlineStr">
        <is>
          <t>Hong Kong</t>
        </is>
      </c>
      <c r="E42" s="13" t="n"/>
      <c r="F42" s="13" t="n"/>
      <c r="G42" s="14" t="n">
        <v>46096</v>
      </c>
      <c r="H42" s="13" t="inlineStr">
        <is>
          <t>Prosple</t>
        </is>
      </c>
      <c r="I42" s="13" t="n"/>
      <c r="J42" s="13" t="inlineStr">
        <is>
          <t>Yes</t>
        </is>
      </c>
      <c r="K42" s="13" t="n"/>
      <c r="L42" s="13" t="n"/>
      <c r="M42" s="13" t="inlineStr">
        <is>
          <t>Applied</t>
        </is>
      </c>
      <c r="N42" s="13" t="n"/>
      <c r="O42" s="13" t="n"/>
      <c r="P42" s="14" t="n">
        <v>46349</v>
      </c>
      <c r="Q42" s="17" t="n"/>
      <c r="R42" s="28" t="inlineStr">
        <is>
          <t>12 weeks</t>
        </is>
      </c>
      <c r="S42" s="13" t="n"/>
      <c r="T42" s="13" t="inlineStr">
        <is>
          <t>34-35</t>
        </is>
      </c>
      <c r="U42" s="20" t="inlineStr">
        <is>
          <t>1</t>
        </is>
      </c>
      <c r="V42" s="13" t="n"/>
      <c r="W42" s="13" t="n"/>
      <c r="X42" s="13" t="n"/>
      <c r="Y42" s="13" t="n"/>
      <c r="Z42" s="13" t="n"/>
      <c r="AA42" s="13" t="n"/>
      <c r="AB42" s="13" t="n"/>
      <c r="AC42" s="13" t="n"/>
    </row>
    <row r="43" ht="18" customHeight="1" s="31">
      <c r="A43" s="13" t="inlineStr">
        <is>
          <t>APA</t>
        </is>
      </c>
      <c r="B43" s="13" t="inlineStr">
        <is>
          <t>data &amp; AI Governance</t>
        </is>
      </c>
      <c r="C43" s="13" t="inlineStr">
        <is>
          <t>Internship</t>
        </is>
      </c>
      <c r="D43" s="13" t="inlineStr">
        <is>
          <t>VIC</t>
        </is>
      </c>
      <c r="E43" s="13" t="n"/>
      <c r="F43" s="13" t="n"/>
      <c r="G43" s="14" t="n">
        <v>46096</v>
      </c>
      <c r="H43" s="13" t="inlineStr">
        <is>
          <t>Prosple</t>
        </is>
      </c>
      <c r="I43" s="13" t="n"/>
      <c r="J43" s="13" t="n"/>
      <c r="K43" s="13" t="n"/>
      <c r="L43" s="13" t="n"/>
      <c r="M43" s="13" t="inlineStr">
        <is>
          <t>Applied</t>
        </is>
      </c>
      <c r="N43" s="13" t="n"/>
      <c r="O43" s="13" t="n"/>
      <c r="P43" s="24" t="n">
        <v>46356</v>
      </c>
      <c r="Q43" s="17" t="n"/>
      <c r="R43" s="28" t="inlineStr">
        <is>
          <t>12 weeks</t>
        </is>
      </c>
      <c r="S43" s="13" t="n"/>
      <c r="T43" s="13" t="n"/>
      <c r="U43" s="20" t="n"/>
      <c r="V43" s="13" t="n"/>
      <c r="W43" s="13" t="n"/>
      <c r="X43" s="13" t="n"/>
      <c r="Y43" s="13" t="n"/>
      <c r="Z43" s="13" t="n"/>
      <c r="AA43" s="13" t="n"/>
      <c r="AB43" s="13" t="n"/>
      <c r="AC43" s="13" t="n"/>
    </row>
    <row r="44" ht="18" customHeight="1" s="31">
      <c r="A44" s="13" t="inlineStr">
        <is>
          <t>Rheinmetall</t>
        </is>
      </c>
      <c r="B44" s="13" t="inlineStr">
        <is>
          <t>data analytics</t>
        </is>
      </c>
      <c r="C44" s="13" t="inlineStr">
        <is>
          <t>Internship</t>
        </is>
      </c>
      <c r="D44" s="13" t="inlineStr">
        <is>
          <t>VIC</t>
        </is>
      </c>
      <c r="E44" s="13" t="n"/>
      <c r="F44" s="13" t="n"/>
      <c r="G44" s="14" t="n">
        <v>46096</v>
      </c>
      <c r="H44" s="13" t="inlineStr">
        <is>
          <t>Prosple</t>
        </is>
      </c>
      <c r="I44" s="13" t="n"/>
      <c r="J44" s="13" t="inlineStr">
        <is>
          <t>Yes</t>
        </is>
      </c>
      <c r="K44" s="13" t="n"/>
      <c r="L44" s="13" t="n"/>
      <c r="M44" s="13" t="inlineStr">
        <is>
          <t>Rejected</t>
        </is>
      </c>
      <c r="N44" s="13" t="n"/>
      <c r="O44" s="13" t="n"/>
      <c r="P44" s="24" t="n">
        <v>46349</v>
      </c>
      <c r="Q44" s="17" t="n">
        <v>46437</v>
      </c>
      <c r="R44" s="28" t="inlineStr">
        <is>
          <t>12 weeks</t>
        </is>
      </c>
      <c r="S44" s="13" t="n"/>
      <c r="T44" s="13" t="inlineStr">
        <is>
          <t>36 or 66000</t>
        </is>
      </c>
      <c r="U44" s="20" t="inlineStr">
        <is>
          <t>5-6</t>
        </is>
      </c>
      <c r="V44" s="13" t="n"/>
      <c r="W44" s="13" t="n"/>
      <c r="X44" s="13" t="n"/>
      <c r="Y44" s="13" t="n"/>
      <c r="Z44" s="13" t="n"/>
      <c r="AA44" s="13" t="n"/>
      <c r="AB44" s="13" t="n"/>
      <c r="AC44" s="13" t="n"/>
    </row>
    <row r="45" ht="18" customHeight="1" s="31">
      <c r="A45" s="13" t="inlineStr">
        <is>
          <t>grant thornton</t>
        </is>
      </c>
      <c r="B45" s="13" t="inlineStr">
        <is>
          <t>business consulting</t>
        </is>
      </c>
      <c r="C45" s="13" t="inlineStr">
        <is>
          <t>Internship</t>
        </is>
      </c>
      <c r="D45" s="13" t="inlineStr">
        <is>
          <t>VIC</t>
        </is>
      </c>
      <c r="E45" s="13" t="n"/>
      <c r="F45" s="13" t="n"/>
      <c r="G45" s="14" t="n">
        <v>46096</v>
      </c>
      <c r="H45" s="13" t="inlineStr">
        <is>
          <t>Prosple</t>
        </is>
      </c>
      <c r="I45" s="13" t="n"/>
      <c r="J45" s="13" t="n"/>
      <c r="K45" s="13" t="n"/>
      <c r="L45" s="13" t="n"/>
      <c r="M45" s="13" t="inlineStr">
        <is>
          <t>Rejected</t>
        </is>
      </c>
      <c r="N45" s="13" t="n"/>
      <c r="O45" s="13" t="n"/>
      <c r="P45" s="27" t="inlineStr">
        <is>
          <t>11/16/2026 - 18 jan 2027</t>
        </is>
      </c>
      <c r="Q45" s="17" t="n"/>
      <c r="R45" s="28" t="inlineStr">
        <is>
          <t>4-6 weeks</t>
        </is>
      </c>
      <c r="S45" s="13" t="n"/>
      <c r="T45" s="13" t="n">
        <v>278</v>
      </c>
      <c r="U45" s="20" t="inlineStr">
        <is>
          <t>1-10</t>
        </is>
      </c>
      <c r="V45" s="13" t="n"/>
      <c r="W45" s="13" t="n"/>
      <c r="X45" s="13" t="n"/>
      <c r="Y45" s="13" t="n"/>
      <c r="Z45" s="13" t="n"/>
      <c r="AA45" s="13" t="n"/>
      <c r="AB45" s="13" t="n"/>
      <c r="AC45" s="13" t="n"/>
    </row>
    <row r="46" ht="17.25" customHeight="1" s="31">
      <c r="A46" s="13" t="inlineStr">
        <is>
          <t>nab</t>
        </is>
      </c>
      <c r="B46" s="13" t="inlineStr">
        <is>
          <t>digital data and ai</t>
        </is>
      </c>
      <c r="C46" s="13" t="inlineStr">
        <is>
          <t>Internship</t>
        </is>
      </c>
      <c r="D46" s="13" t="inlineStr">
        <is>
          <t>VIC</t>
        </is>
      </c>
      <c r="E46" s="13" t="n"/>
      <c r="F46" s="13" t="n"/>
      <c r="G46" s="14" t="n">
        <v>46096</v>
      </c>
      <c r="H46" s="13" t="inlineStr">
        <is>
          <t>Prosple</t>
        </is>
      </c>
      <c r="I46" s="13" t="n"/>
      <c r="J46" s="13" t="n"/>
      <c r="K46" s="13" t="n"/>
      <c r="L46" s="13" t="n"/>
      <c r="M46" s="13" t="inlineStr">
        <is>
          <t>Rejected</t>
        </is>
      </c>
      <c r="N46" s="13" t="n"/>
      <c r="O46" s="13" t="n"/>
      <c r="P46" s="24" t="n">
        <v>46349</v>
      </c>
      <c r="Q46" s="17" t="n"/>
      <c r="R46" s="28" t="inlineStr">
        <is>
          <t>8 weeks</t>
        </is>
      </c>
      <c r="S46" s="13" t="n"/>
      <c r="T46" s="13" t="inlineStr">
        <is>
          <t>65000-70000</t>
        </is>
      </c>
      <c r="U46" s="20" t="inlineStr">
        <is>
          <t>1-4</t>
        </is>
      </c>
      <c r="V46" s="13" t="n"/>
      <c r="W46" s="13" t="n"/>
      <c r="X46" s="13" t="n"/>
      <c r="Y46" s="13" t="n"/>
      <c r="Z46" s="13" t="n"/>
      <c r="AA46" s="13" t="n"/>
      <c r="AB46" s="13" t="n"/>
      <c r="AC46" s="13" t="n"/>
    </row>
    <row r="47" ht="18" customHeight="1" s="31">
      <c r="A47" s="13" t="inlineStr">
        <is>
          <t>AECOM</t>
        </is>
      </c>
      <c r="B47" s="13" t="inlineStr">
        <is>
          <t>project management</t>
        </is>
      </c>
      <c r="C47" s="13" t="inlineStr">
        <is>
          <t>Internship</t>
        </is>
      </c>
      <c r="D47" s="13" t="inlineStr">
        <is>
          <t>VIC</t>
        </is>
      </c>
      <c r="E47" s="13" t="n"/>
      <c r="F47" s="13" t="n"/>
      <c r="G47" s="14" t="n">
        <v>46096</v>
      </c>
      <c r="H47" s="13" t="inlineStr">
        <is>
          <t>Prosple</t>
        </is>
      </c>
      <c r="I47" s="13" t="n"/>
      <c r="J47" s="13" t="n"/>
      <c r="K47" s="13" t="n"/>
      <c r="L47" s="13" t="n"/>
      <c r="M47" s="13" t="inlineStr">
        <is>
          <t>Rejected</t>
        </is>
      </c>
      <c r="N47" s="13" t="n"/>
      <c r="O47" s="13" t="n"/>
      <c r="P47" s="24" t="n">
        <v>46342</v>
      </c>
      <c r="Q47" s="17" t="n"/>
      <c r="R47" s="28" t="inlineStr">
        <is>
          <t>12 weeks</t>
        </is>
      </c>
      <c r="S47" s="13" t="n"/>
      <c r="T47" s="13" t="n">
        <v>38</v>
      </c>
      <c r="U47" s="20" t="inlineStr">
        <is>
          <t>1-5</t>
        </is>
      </c>
      <c r="V47" s="13" t="n"/>
      <c r="W47" s="13" t="n"/>
      <c r="X47" s="13" t="n"/>
      <c r="Y47" s="13" t="n"/>
      <c r="Z47" s="13" t="n"/>
      <c r="AA47" s="13" t="n"/>
      <c r="AB47" s="13" t="n"/>
      <c r="AC47" s="13" t="n"/>
    </row>
    <row r="48" ht="18" customHeight="1" s="31">
      <c r="A48" s="13" t="inlineStr">
        <is>
          <t>Commonwealth Bank</t>
        </is>
      </c>
      <c r="B48" s="13" t="inlineStr">
        <is>
          <t>Technology &amp; AI -advanced Analytics</t>
        </is>
      </c>
      <c r="C48" s="13" t="inlineStr">
        <is>
          <t>Internship</t>
        </is>
      </c>
      <c r="D48" s="13" t="inlineStr">
        <is>
          <t>NSW</t>
        </is>
      </c>
      <c r="E48" s="13" t="n"/>
      <c r="F48" s="24" t="n">
        <v>46273</v>
      </c>
      <c r="G48" s="29" t="n">
        <v>46272</v>
      </c>
      <c r="H48" s="13" t="inlineStr">
        <is>
          <t>Prosple</t>
        </is>
      </c>
      <c r="I48" s="13" t="n"/>
      <c r="J48" s="13" t="n"/>
      <c r="K48" s="13" t="n"/>
      <c r="L48" s="13" t="n"/>
      <c r="M48" s="13" t="inlineStr">
        <is>
          <t>Rejected</t>
        </is>
      </c>
      <c r="N48" s="13" t="n"/>
      <c r="O48" s="13" t="n"/>
      <c r="P48" s="24" t="n">
        <v>46349</v>
      </c>
      <c r="Q48" s="13" t="n"/>
      <c r="R48" s="28" t="inlineStr">
        <is>
          <t>10 weeks</t>
        </is>
      </c>
      <c r="S48" s="13" t="n"/>
      <c r="T48" s="26" t="n">
        <v>65000</v>
      </c>
      <c r="U48" s="20" t="inlineStr">
        <is>
          <t>1-8</t>
        </is>
      </c>
      <c r="V48" s="13" t="n"/>
      <c r="W48" s="13" t="n"/>
      <c r="X48" s="13" t="n"/>
      <c r="Y48" s="13" t="n"/>
      <c r="Z48" s="13" t="n"/>
      <c r="AA48" s="13" t="n"/>
      <c r="AB48" s="13" t="n"/>
      <c r="AC48" s="13" t="n"/>
    </row>
    <row r="49" ht="15.75" customHeight="1" s="31">
      <c r="A49" s="32" t="inlineStr">
        <is>
          <t>accenture</t>
        </is>
      </c>
      <c r="B49" s="32" t="inlineStr">
        <is>
          <t>graduate analyst technology</t>
        </is>
      </c>
      <c r="C49" s="32" t="inlineStr">
        <is>
          <t>Graduate Program</t>
        </is>
      </c>
      <c r="D49" s="32" t="inlineStr">
        <is>
          <t>VIC</t>
        </is>
      </c>
      <c r="F49" s="6" t="n">
        <v>46264</v>
      </c>
      <c r="H49" s="32" t="inlineStr">
        <is>
          <t>Prosple</t>
        </is>
      </c>
      <c r="M49" s="32" t="inlineStr">
        <is>
          <t>Withdrawn</t>
        </is>
      </c>
      <c r="P49" s="6" t="inlineStr">
        <is>
          <t>1/19/2027 - 7/13/2027</t>
        </is>
      </c>
      <c r="T49" t="inlineStr">
        <is>
          <t>70000-80000</t>
        </is>
      </c>
      <c r="U49" s="7" t="inlineStr">
        <is>
          <t>1-45</t>
        </is>
      </c>
    </row>
    <row r="50" ht="15.75" customHeight="1" s="31">
      <c r="A50" s="32" t="inlineStr">
        <is>
          <t>tiktok</t>
        </is>
      </c>
      <c r="B50" t="inlineStr">
        <is>
          <t>business data analyst project intern (GBS)</t>
        </is>
      </c>
      <c r="C50" s="32" t="inlineStr">
        <is>
          <t>Internship</t>
        </is>
      </c>
      <c r="D50" s="32" t="inlineStr">
        <is>
          <t>NSW</t>
        </is>
      </c>
      <c r="F50" s="6" t="n">
        <v>46387</v>
      </c>
      <c r="G50" s="34" t="n">
        <v>46277</v>
      </c>
      <c r="H50" s="13" t="inlineStr">
        <is>
          <t>Prosple</t>
        </is>
      </c>
      <c r="M50" s="32" t="inlineStr">
        <is>
          <t>Applied</t>
        </is>
      </c>
      <c r="T50" t="inlineStr">
        <is>
          <t>2000-5000 per month</t>
        </is>
      </c>
    </row>
    <row r="51" ht="15.75" customHeight="1" s="31">
      <c r="A51" s="32" t="inlineStr">
        <is>
          <t>Didi</t>
        </is>
      </c>
      <c r="B51" s="32" t="inlineStr">
        <is>
          <t>operations intern</t>
        </is>
      </c>
      <c r="C51" s="32" t="inlineStr">
        <is>
          <t>Internship</t>
        </is>
      </c>
      <c r="D51" s="32" t="inlineStr">
        <is>
          <t>NSW</t>
        </is>
      </c>
      <c r="G51" s="34" t="n">
        <v>46277</v>
      </c>
      <c r="M51" s="32" t="inlineStr">
        <is>
          <t>Applied</t>
        </is>
      </c>
    </row>
    <row r="52" ht="15.75" customHeight="1" s="31">
      <c r="A52" s="32" t="inlineStr">
        <is>
          <t>tencent</t>
        </is>
      </c>
      <c r="B52" t="inlineStr">
        <is>
          <t>Game Reaserch Development intern, engine reasearch</t>
        </is>
      </c>
      <c r="C52" s="32" t="inlineStr">
        <is>
          <t>Internship</t>
        </is>
      </c>
      <c r="D52" s="32" t="inlineStr">
        <is>
          <t>NSW</t>
        </is>
      </c>
      <c r="G52" s="34" t="n">
        <v>46277</v>
      </c>
      <c r="M52" s="32" t="inlineStr">
        <is>
          <t>Applied</t>
        </is>
      </c>
    </row>
    <row r="53" ht="15.75" customHeight="1" s="31">
      <c r="A53" s="32" t="inlineStr">
        <is>
          <t>apple</t>
        </is>
      </c>
      <c r="B53" t="inlineStr">
        <is>
          <t>information systems and technology</t>
        </is>
      </c>
      <c r="C53" s="32" t="inlineStr">
        <is>
          <t>Internship</t>
        </is>
      </c>
      <c r="D53" s="32" t="inlineStr">
        <is>
          <t>NSW</t>
        </is>
      </c>
      <c r="G53" s="34" t="n">
        <v>46277</v>
      </c>
      <c r="M53" s="32" t="inlineStr">
        <is>
          <t>Applied</t>
        </is>
      </c>
    </row>
    <row r="54" ht="15.75" customHeight="1" s="31">
      <c r="A54" s="32" t="inlineStr">
        <is>
          <t>SAP</t>
        </is>
      </c>
      <c r="B54" t="inlineStr">
        <is>
          <t>student training and totation program intern</t>
        </is>
      </c>
      <c r="C54" s="32" t="inlineStr">
        <is>
          <t>Internship</t>
        </is>
      </c>
      <c r="D54" s="32" t="inlineStr">
        <is>
          <t>VIC</t>
        </is>
      </c>
      <c r="G54" s="34" t="n">
        <v>46277</v>
      </c>
      <c r="M54" s="32" t="inlineStr">
        <is>
          <t>Rejected</t>
        </is>
      </c>
      <c r="R54" t="inlineStr">
        <is>
          <t>2 years</t>
        </is>
      </c>
    </row>
    <row r="55" ht="15.75" customHeight="1" s="31">
      <c r="A55" s="32" t="inlineStr">
        <is>
          <t>FDM</t>
        </is>
      </c>
      <c r="B55" t="inlineStr">
        <is>
          <t>Project Grace: Data Analyst Graduate Program</t>
        </is>
      </c>
      <c r="C55" s="32" t="inlineStr">
        <is>
          <t>Graduate Program</t>
        </is>
      </c>
      <c r="D55" s="32" t="n"/>
      <c r="G55" s="34" t="n">
        <v>46108</v>
      </c>
      <c r="M55" s="32" t="inlineStr">
        <is>
          <t>Withdrawn</t>
        </is>
      </c>
    </row>
    <row r="56" ht="15.75" customHeight="1" s="31">
      <c r="A56" s="32" t="inlineStr">
        <is>
          <t>ADN</t>
        </is>
      </c>
      <c r="B56" t="inlineStr">
        <is>
          <t>AusDN Internship Program (Summer 2026/27)</t>
        </is>
      </c>
      <c r="C56" s="32" t="inlineStr">
        <is>
          <t>Internship</t>
        </is>
      </c>
      <c r="D56" s="32" t="n"/>
      <c r="G56" s="34" t="n">
        <v>46281</v>
      </c>
      <c r="M56" s="32" t="inlineStr">
        <is>
          <t>Applied</t>
        </is>
      </c>
      <c r="X56" t="inlineStr">
        <is>
          <t>Attend Plan for Success workshop 29 Oct; watch for shortlist early Nov</t>
        </is>
      </c>
    </row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</sheetData>
  <autoFilter ref="A1:AC56">
    <sortState ref="A2:AA85">
      <sortCondition ref="M1:M85"/>
    </sortState>
  </autoFilter>
  <conditionalFormatting sqref="A2:AC499">
    <cfRule type="expression" priority="1" dxfId="27">
      <formula>$M2="Researching"</formula>
    </cfRule>
    <cfRule type="expression" priority="2" dxfId="26">
      <formula>$M2="To Apply"</formula>
    </cfRule>
    <cfRule type="expression" priority="3" dxfId="25">
      <formula>$M2="Applied"</formula>
    </cfRule>
    <cfRule type="expression" priority="4" dxfId="24">
      <formula>$M2="Assessment"</formula>
    </cfRule>
    <cfRule type="expression" priority="5" dxfId="23">
      <formula>$M2="Phone Screen"</formula>
    </cfRule>
    <cfRule type="expression" priority="6" dxfId="21">
      <formula>$M2="Interview"</formula>
    </cfRule>
    <cfRule type="expression" priority="7" dxfId="21">
      <formula>$M2="Interviewing"</formula>
    </cfRule>
    <cfRule type="expression" priority="8" dxfId="5">
      <formula>$M2="Offer Received"</formula>
    </cfRule>
    <cfRule type="expression" priority="9" dxfId="5">
      <formula>$M2="Offer"</formula>
    </cfRule>
    <cfRule type="expression" priority="10" dxfId="4">
      <formula>$M2="Accepted"</formula>
    </cfRule>
    <cfRule type="expression" priority="11" dxfId="3">
      <formula>$M2="Rejected"</formula>
    </cfRule>
    <cfRule type="expression" priority="12" dxfId="2">
      <formula>$M2="Withdrawn"</formula>
    </cfRule>
    <cfRule type="expression" priority="13" dxfId="1">
      <formula>$M2="Finished Assessment"</formula>
    </cfRule>
    <cfRule type="expression" priority="14" dxfId="0">
      <formula>$M2="Ghosted"</formula>
    </cfRule>
    <cfRule type="expression" priority="15" dxfId="13">
      <formula>$M2="Researching"</formula>
    </cfRule>
    <cfRule type="expression" priority="16" dxfId="12">
      <formula>$M2="To Apply"</formula>
    </cfRule>
    <cfRule type="expression" priority="17" dxfId="11">
      <formula>$M2="Applied"</formula>
    </cfRule>
    <cfRule type="expression" priority="18" dxfId="10">
      <formula>$M2="Assessment"</formula>
    </cfRule>
    <cfRule type="expression" priority="19" dxfId="9">
      <formula>$M2="Phone Screen"</formula>
    </cfRule>
    <cfRule type="expression" priority="20" dxfId="7">
      <formula>$M2="Interview"</formula>
    </cfRule>
    <cfRule type="expression" priority="21" dxfId="7">
      <formula>$M2="Interviewing"</formula>
    </cfRule>
    <cfRule type="expression" priority="22" dxfId="5">
      <formula>$M2="Offer Received"</formula>
    </cfRule>
    <cfRule type="expression" priority="23" dxfId="5">
      <formula>$M2="Offer"</formula>
    </cfRule>
    <cfRule type="expression" priority="24" dxfId="4">
      <formula>$M2="Accepted"</formula>
    </cfRule>
    <cfRule type="expression" priority="25" dxfId="3">
      <formula>$M2="Rejected"</formula>
    </cfRule>
    <cfRule type="expression" priority="26" dxfId="2">
      <formula>$M2="Withdrawn"</formula>
    </cfRule>
    <cfRule type="expression" priority="27" dxfId="1">
      <formula>$M2="Finished Assessment"</formula>
    </cfRule>
    <cfRule type="expression" priority="28" dxfId="0">
      <formula>$M2="Ghosted"</formula>
    </cfRule>
  </conditionalFormatting>
  <dataValidations count="10">
    <dataValidation sqref="C86:C495" showDropDown="0" showInputMessage="0" showErrorMessage="0" allowBlank="1" type="list">
      <formula1>"Internship,Graduate Program,Full-Time,Part-Time,Casual,Contract"</formula1>
    </dataValidation>
    <dataValidation sqref="D86:D495" showDropDown="0" showInputMessage="0" showErrorMessage="0" allowBlank="1" type="list">
      <formula1>"NSW,VIC,QLD,WA,SA,TAS,ACT,NT,Remote,Hybrid,Other"</formula1>
    </dataValidation>
    <dataValidation sqref="H96:H98 H100:H495" showDropDown="0" showInputMessage="0" showErrorMessage="0" allowBlank="1" type="list">
      <formula1>"Seek,LinkedIn,Company Website,University Portal,Indeed,Referral,Career Fair,Other"</formula1>
    </dataValidation>
    <dataValidation sqref="K86:K495" showDropDown="0" showInputMessage="0" showErrorMessage="0" allowBlank="1" type="list">
      <formula1>"Not Started,Online Assessment,Video Interview,Assessment Centre,Interview,Final Round,Complete"</formula1>
    </dataValidation>
    <dataValidation sqref="U86:U495" showDropDown="0" showInputMessage="0" showErrorMessage="0" allowBlank="1" type="list">
      <formula1>"High,Medium,Low"</formula1>
    </dataValidation>
    <dataValidation sqref="T86:T495" showDropDown="0" showInputMessage="0" showErrorMessage="0" allowBlank="1" type="list">
      <formula1>"AU Citizen / PR,Any Visa,Sponsorship Available,Unknown"</formula1>
    </dataValidation>
    <dataValidation sqref="Q2:Q85" showDropDown="0" showInputMessage="0" showErrorMessage="0" allowBlank="1" type="list">
      <formula1>"⭐⭐⭐ High,⭐⭐ Medium,⭐ Low"</formula1>
    </dataValidation>
    <dataValidation sqref="C2:C85" showDropDown="0" showInputMessage="0" showErrorMessage="0" allowBlank="1" type="list">
      <formula1>"Internship,Graduate Program,Graduate School,Co-op,Part-time,Full-time"</formula1>
    </dataValidation>
    <dataValidation sqref="M2:M499" showDropDown="0" showInputMessage="0" showErrorMessage="0" allowBlank="1" type="list">
      <formula1>"Researching,To Apply,Applied,Assessment,Phone Screen,Interview,Offer Received,Accepted,Rejected,Withdrawn,Finished Assessment,Ghosted"</formula1>
    </dataValidation>
    <dataValidation sqref="I2:J49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opLeftCell="A4" workbookViewId="0">
      <selection activeCell="A1" sqref="A1"/>
    </sheetView>
  </sheetViews>
  <sheetFormatPr baseColWidth="8" defaultRowHeight="14.5"/>
  <cols>
    <col width="28" customWidth="1" style="31" min="1" max="1"/>
    <col width="16" customWidth="1" style="31" min="2" max="6"/>
  </cols>
  <sheetData>
    <row r="1" ht="16.5" customHeight="1" s="31">
      <c r="A1" s="2" t="inlineStr">
        <is>
          <t>How to use this workbook</t>
        </is>
      </c>
    </row>
    <row r="3">
      <c r="A3" s="3" t="inlineStr">
        <is>
          <t>Applications sheet</t>
        </is>
      </c>
    </row>
    <row r="4">
      <c r="A4" s="30" t="inlineStr">
        <is>
          <t>One row per job application. Row 2 (italic) is an example — delete or overwrite it once you add your own entries.</t>
        </is>
      </c>
    </row>
    <row r="6">
      <c r="A6" s="3" t="inlineStr">
        <is>
          <t>Dropdown columns</t>
        </is>
      </c>
    </row>
    <row r="7">
      <c r="A7" s="30" t="inlineStr">
        <is>
          <t>Type, Location, Source, Referral, Cover Letter, Assessment Stage, Status, Priority, and Work Rights Required all have dropdown lists — click a cell to pick a value.</t>
        </is>
      </c>
    </row>
    <row r="9">
      <c r="A9" s="3" t="inlineStr">
        <is>
          <t>Reason column</t>
        </is>
      </c>
    </row>
    <row r="10">
      <c r="A10" s="30" t="inlineStr">
        <is>
          <t>Fill this in when Status is Rejected or Withdrawn — the reason given, or your own reason for withdrawing.</t>
        </is>
      </c>
    </row>
    <row r="12">
      <c r="A12" s="3" t="inlineStr">
        <is>
          <t>Dates</t>
        </is>
      </c>
    </row>
    <row r="13">
      <c r="A13" s="30" t="inlineStr">
        <is>
          <t>Use YYYY-MM-DD format for consistency (Open Date, Deadline, Applied Date, Interview Date, Outcome Date, Start Date, Follow-up Date).</t>
        </is>
      </c>
    </row>
    <row r="15">
      <c r="A15" s="3" t="inlineStr">
        <is>
          <t>Next Action</t>
        </is>
      </c>
    </row>
    <row r="16">
      <c r="A16" s="30" t="inlineStr">
        <is>
          <t>A short note on what to do next for that application, e.g. 'Send thank-you email' or 'Chase after 2 weeks'.</t>
        </is>
      </c>
    </row>
    <row r="18">
      <c r="A18" s="3" t="inlineStr">
        <is>
          <t>This file feeds your website tracker</t>
        </is>
      </c>
    </row>
    <row r="19">
      <c r="A19" s="30" t="inlineStr">
        <is>
          <t>Claude Code reads this file and converts it to the JSON your job-tracker.html timeline displays. Update this sheet, then ask Claude Code to regenerate the JSON.</t>
        </is>
      </c>
    </row>
    <row r="22">
      <c r="A22" s="3" t="inlineStr">
        <is>
          <t>Answers sheet</t>
        </is>
      </c>
    </row>
    <row r="23">
      <c r="A23" s="30" t="inlineStr">
        <is>
          <t>One row per saved answer to a common application question. Tag it with themes (comma-separated, e.g. 'culture, mission') so you can browse/reuse answers by theme across applications. Link to an application via Company + Role / Position. Shown as a popup when you click the '+' on that job entry in your website tracker.</t>
        </is>
      </c>
    </row>
  </sheetData>
  <mergeCells count="7">
    <mergeCell ref="A16:F16"/>
    <mergeCell ref="A10:F10"/>
    <mergeCell ref="A19:F19"/>
    <mergeCell ref="A13:F13"/>
    <mergeCell ref="A23:F23"/>
    <mergeCell ref="A4:F4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2" sqref="A2:XFD3"/>
    </sheetView>
  </sheetViews>
  <sheetFormatPr baseColWidth="8" defaultRowHeight="14.5"/>
  <cols>
    <col width="20" customWidth="1" style="31" min="1" max="1"/>
    <col width="26" customWidth="1" style="31" min="2" max="2"/>
    <col width="40" customWidth="1" style="31" min="3" max="3"/>
    <col width="24" customWidth="1" style="31" min="4" max="4"/>
    <col width="60" customWidth="1" style="31" min="5" max="5"/>
  </cols>
  <sheetData>
    <row r="1" ht="22" customHeight="1" s="31">
      <c r="A1" s="1" t="inlineStr">
        <is>
          <t>Company</t>
        </is>
      </c>
      <c r="B1" s="1" t="inlineStr">
        <is>
          <t>Role / Position</t>
        </is>
      </c>
      <c r="C1" s="1" t="inlineStr">
        <is>
          <t>Question</t>
        </is>
      </c>
      <c r="D1" s="1" t="inlineStr">
        <is>
          <t>Tags</t>
        </is>
      </c>
      <c r="E1" s="1" t="inlineStr">
        <is>
          <t>Answer Text</t>
        </is>
      </c>
    </row>
    <row r="2" ht="60" customHeight="1" s="31">
      <c r="A2" s="5" t="n"/>
      <c r="B2" s="5" t="n"/>
      <c r="C2" s="5" t="n"/>
      <c r="D2" s="5" t="n"/>
      <c r="E2" s="5" t="n"/>
    </row>
    <row r="3" ht="60" customHeight="1" s="31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</sheetData>
  <autoFilter ref="A1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2026-08-09T07:56:53Z</dcterms:created>
  <dcterms:modified xmlns:dcterms="http://purl.org/dc/terms/" xmlns:xsi="http://www.w3.org/2001/XMLSchema-instance" xsi:type="dcterms:W3CDTF">2026-10-27T12:30:53Z</dcterms:modified>
  <cp:lastModifiedBy>Eileen Ip</cp:lastModifiedBy>
</cp:coreProperties>
</file>