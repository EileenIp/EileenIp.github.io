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20" yWindow="1820" windowWidth="14400" windowHeight="8710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Answers" sheetId="3" state="visible" r:id="rId3"/>
  </sheets>
  <definedNames>
    <definedName name="_xlnm._FilterDatabase" localSheetId="0" hidden="1">'Applications'!$A$1:$AC$94</definedName>
    <definedName name="_xlnm._FilterDatabase" localSheetId="2" hidden="1">'Answers'!$A$1:$E$40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d\-mmm\-yy;@"/>
    <numFmt numFmtId="165" formatCode="yyyy\-mm\-dd"/>
    <numFmt numFmtId="166" formatCode="0&quot; days&quot;"/>
    <numFmt numFmtId="167" formatCode="yyyy-mm-dd"/>
  </numFmts>
  <fonts count="1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sz val="10"/>
    </font>
    <font>
      <name val="Arial"/>
      <b val="1"/>
      <sz val="13"/>
    </font>
    <font>
      <name val="Arial"/>
      <b val="1"/>
      <sz val="11"/>
    </font>
    <font>
      <name val="Arial"/>
      <color rgb="FF4B5563"/>
      <sz val="10"/>
    </font>
    <font>
      <name val="Arial"/>
      <color theme="1"/>
      <sz val="10"/>
    </font>
    <font>
      <name val="Arial"/>
      <family val="2"/>
      <color theme="1"/>
      <sz val="10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color rgb="FF000000"/>
      <sz val="10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FFFFFF"/>
        <bgColor rgb="FFFFFFFF"/>
      </patternFill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0" fillId="0" borderId="0" pivotButton="0" quotePrefix="0" xfId="0"/>
    <xf numFmtId="49" fontId="0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164" fontId="1" fillId="2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center" vertical="center" wrapText="1"/>
    </xf>
    <xf numFmtId="49" fontId="1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164" fontId="0" fillId="0" borderId="2" pivotButton="0" quotePrefix="0" xfId="0"/>
    <xf numFmtId="165" fontId="10" fillId="0" borderId="2" pivotButton="0" quotePrefix="0" xfId="0"/>
    <xf numFmtId="166" fontId="12" fillId="0" borderId="2" pivotButton="0" quotePrefix="0" xfId="0"/>
    <xf numFmtId="165" fontId="3" fillId="0" borderId="2" pivotButton="0" quotePrefix="0" xfId="0"/>
    <xf numFmtId="166" fontId="13" fillId="0" borderId="2" pivotButton="0" quotePrefix="0" xfId="0"/>
    <xf numFmtId="164" fontId="8" fillId="0" borderId="2" pivotButton="0" quotePrefix="0" xfId="0"/>
    <xf numFmtId="49" fontId="0" fillId="0" borderId="2" pivotButton="0" quotePrefix="0" xfId="0"/>
    <xf numFmtId="0" fontId="7" fillId="3" borderId="2" applyAlignment="1" pivotButton="0" quotePrefix="0" xfId="0">
      <alignment vertical="center"/>
    </xf>
    <xf numFmtId="0" fontId="8" fillId="3" borderId="2" applyAlignment="1" pivotButton="0" quotePrefix="0" xfId="0">
      <alignment vertical="center"/>
    </xf>
    <xf numFmtId="164" fontId="7" fillId="3" borderId="2" applyAlignment="1" pivotButton="0" quotePrefix="0" xfId="0">
      <alignment vertical="center"/>
    </xf>
    <xf numFmtId="15" fontId="0" fillId="0" borderId="2" pivotButton="0" quotePrefix="0" xfId="0"/>
    <xf numFmtId="0" fontId="0" fillId="0" borderId="3" pivotButton="0" quotePrefix="0" xfId="0"/>
    <xf numFmtId="3" fontId="0" fillId="0" borderId="2" pivotButton="0" quotePrefix="0" xfId="0"/>
    <xf numFmtId="16" fontId="0" fillId="0" borderId="2" pivotButton="0" quotePrefix="0" xfId="0"/>
    <xf numFmtId="166" fontId="14" fillId="0" borderId="2" pivotButton="0" quotePrefix="0" xfId="0"/>
    <xf numFmtId="14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3" pivotButton="0" quotePrefix="0" xfId="0"/>
    <xf numFmtId="167" fontId="0" fillId="0" borderId="2" pivotButton="0" quotePrefix="0" xfId="0"/>
    <xf numFmtId="167" fontId="0" fillId="0" borderId="0" pivotButton="0" quotePrefix="0" xfId="0"/>
  </cellXfs>
  <cellStyles count="1">
    <cellStyle name="Normal" xfId="0" builtinId="0"/>
  </cellStyles>
  <dxfs count="28">
    <dxf>
      <font>
        <name val="Arial"/>
        <color rgb="FF000000"/>
        <sz val="10"/>
      </font>
      <fill>
        <patternFill patternType="solid">
          <fgColor rgb="FFD1D5DB"/>
          <bgColor rgb="FFD1D5DB"/>
        </patternFill>
      </fill>
    </dxf>
    <dxf>
      <font>
        <name val="Arial"/>
        <color rgb="FF000000"/>
        <sz val="10"/>
      </font>
      <fill>
        <patternFill patternType="solid">
          <fgColor rgb="FFFDBA74"/>
          <bgColor rgb="FFFDBA74"/>
        </patternFill>
      </fill>
    </dxf>
    <dxf>
      <font>
        <name val="Arial"/>
        <color rgb="FFFFFFFF"/>
        <sz val="10"/>
      </font>
      <fill>
        <patternFill patternType="solid">
          <fgColor rgb="FF1E3A8A"/>
          <bgColor rgb="FF1E3A8A"/>
        </patternFill>
      </fill>
    </dxf>
    <dxf>
      <font>
        <name val="Arial"/>
        <color rgb="FF000000"/>
        <sz val="10"/>
      </font>
      <fill>
        <patternFill patternType="solid">
          <fgColor rgb="FFFCA5A5"/>
          <bgColor rgb="FFFCA5A5"/>
        </patternFill>
      </fill>
    </dxf>
    <dxf>
      <font>
        <name val="Arial"/>
        <color rgb="FF000000"/>
        <sz val="10"/>
      </font>
      <fill>
        <patternFill patternType="solid">
          <fgColor rgb="FF86EFAC"/>
          <bgColor rgb="FF86EFAC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</dxf>
    <dxf>
      <font>
        <name val="Arial"/>
        <color rgb="FF000000"/>
        <sz val="10"/>
      </font>
      <fill>
        <patternFill patternType="solid">
          <fgColor rgb="FFFCD34D"/>
          <bgColor rgb="FFFCD34D"/>
        </patternFill>
      </fill>
    </dxf>
    <dxf>
      <font>
        <name val="Arial"/>
        <color rgb="FF000000"/>
        <sz val="10"/>
      </font>
      <fill>
        <patternFill patternType="solid">
          <fgColor rgb="FFFEF08A"/>
          <bgColor rgb="FFFEF08A"/>
        </patternFill>
      </fill>
    </dxf>
    <dxf>
      <font>
        <name val="Arial"/>
        <color rgb="FF000000"/>
        <sz val="10"/>
      </font>
      <fill>
        <patternFill patternType="solid">
          <fgColor rgb="FFDBEAFE"/>
          <bgColor rgb="FFDBEAFE"/>
        </patternFill>
      </fill>
    </dxf>
    <dxf>
      <font>
        <name val="Arial"/>
        <color rgb="FF000000"/>
        <sz val="10"/>
      </font>
      <fill>
        <patternFill patternType="solid">
          <fgColor rgb="FFFDE68A"/>
          <bgColor rgb="FFFDE68A"/>
        </patternFill>
      </fill>
    </dxf>
    <dxf>
      <font>
        <name val="Arial"/>
        <color rgb="FF000000"/>
        <sz val="10"/>
      </font>
      <fill>
        <patternFill patternType="solid">
          <fgColor rgb="FFE9D5FF"/>
          <bgColor rgb="FFE9D5FF"/>
        </patternFill>
      </fill>
    </dxf>
    <dxf>
      <font>
        <name val="Arial"/>
        <color rgb="FF000000"/>
        <sz val="10"/>
      </font>
      <fill>
        <patternFill patternType="solid">
          <fgColor rgb="FFD1D5DB"/>
          <bgColor rgb="FFD1D5DB"/>
        </patternFill>
      </fill>
    </dxf>
    <dxf>
      <font>
        <name val="Arial"/>
        <color rgb="FF000000"/>
        <sz val="10"/>
      </font>
      <fill>
        <patternFill patternType="solid">
          <fgColor rgb="FFFDBA74"/>
          <bgColor rgb="FFFDBA74"/>
        </patternFill>
      </fill>
    </dxf>
    <dxf>
      <font>
        <name val="Arial"/>
        <color rgb="FFFFFFFF"/>
        <sz val="10"/>
      </font>
      <fill>
        <patternFill patternType="solid">
          <fgColor rgb="FF1E3A8A"/>
          <bgColor rgb="FF1E3A8A"/>
        </patternFill>
      </fill>
    </dxf>
    <dxf>
      <font>
        <name val="Arial"/>
        <color rgb="FF000000"/>
        <sz val="10"/>
      </font>
      <fill>
        <patternFill patternType="solid">
          <fgColor rgb="FFFCA5A5"/>
          <bgColor rgb="FFFCA5A5"/>
        </patternFill>
      </fill>
    </dxf>
    <dxf>
      <font>
        <name val="Arial"/>
        <color rgb="FF000000"/>
        <sz val="10"/>
      </font>
      <fill>
        <patternFill patternType="solid">
          <fgColor rgb="FF86EFAC"/>
          <bgColor rgb="FF86EFAC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CD34D"/>
          <bgColor rgb="FFFCD34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EF08A"/>
          <bgColor rgb="FFFEF08A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DBEAFE"/>
          <bgColor rgb="FFDBEA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E5E7EB"/>
          <bgColor rgb="FFE5E7E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3F4F6"/>
          <bgColor rgb="FFF3F4F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"/>
  <sheetViews>
    <sheetView tabSelected="1" topLeftCell="B1" zoomScale="69" workbookViewId="0">
      <pane ySplit="1" topLeftCell="A92" activePane="bottomLeft" state="frozen"/>
      <selection pane="bottomLeft" activeCell="M106" sqref="M106:N106"/>
    </sheetView>
  </sheetViews>
  <sheetFormatPr baseColWidth="8" defaultRowHeight="14.5"/>
  <cols>
    <col width="20" customWidth="1" style="31" min="1" max="1"/>
    <col width="26" customWidth="1" style="31" min="2" max="2"/>
    <col width="16" customWidth="1" style="31" min="3" max="4"/>
    <col width="13" customWidth="1" style="6" min="5" max="7"/>
    <col width="16" customWidth="1" style="31" min="8" max="8"/>
    <col width="12" customWidth="1" style="31" min="9" max="9"/>
    <col width="13" customWidth="1" style="31" min="10" max="10"/>
    <col width="20" customWidth="1" style="31" min="11" max="11"/>
    <col width="14" customWidth="1" style="31" min="12" max="13"/>
    <col width="13" customWidth="1" style="31" min="14" max="14"/>
    <col width="28" customWidth="1" style="31" min="15" max="15"/>
    <col width="13" customWidth="1" style="6" min="16" max="16"/>
    <col width="13" customWidth="1" style="31" min="17" max="17"/>
    <col width="12" customWidth="1" style="31" min="18" max="18"/>
    <col width="11" customWidth="1" style="7" min="19" max="19"/>
    <col width="20" customWidth="1" style="31" min="20" max="20"/>
    <col width="11" customWidth="1" style="7" min="21" max="21"/>
    <col width="24" customWidth="1" style="31" min="22" max="22"/>
    <col width="14" customWidth="1" style="31" min="23" max="23"/>
    <col width="22" customWidth="1" style="31" min="24" max="26"/>
    <col width="30" customWidth="1" style="31" min="27" max="27"/>
  </cols>
  <sheetData>
    <row r="1" ht="32" customHeight="1" s="31">
      <c r="A1" s="8" t="inlineStr">
        <is>
          <t>Company</t>
        </is>
      </c>
      <c r="B1" s="8" t="inlineStr">
        <is>
          <t>Role / Position</t>
        </is>
      </c>
      <c r="C1" s="8" t="inlineStr">
        <is>
          <t>Type</t>
        </is>
      </c>
      <c r="D1" s="8" t="inlineStr">
        <is>
          <t>Location</t>
        </is>
      </c>
      <c r="E1" s="9" t="inlineStr">
        <is>
          <t>Open Date</t>
        </is>
      </c>
      <c r="F1" s="9" t="inlineStr">
        <is>
          <t>Deadline</t>
        </is>
      </c>
      <c r="G1" s="9" t="inlineStr">
        <is>
          <t>Applied Date</t>
        </is>
      </c>
      <c r="H1" s="8" t="inlineStr">
        <is>
          <t>Source</t>
        </is>
      </c>
      <c r="I1" s="8" t="inlineStr">
        <is>
          <t>Referral</t>
        </is>
      </c>
      <c r="J1" s="8" t="inlineStr">
        <is>
          <t>Cover Letter</t>
        </is>
      </c>
      <c r="K1" s="8" t="inlineStr">
        <is>
          <t>Assessment Stage</t>
        </is>
      </c>
      <c r="L1" s="8" t="inlineStr">
        <is>
          <t>Interview Date</t>
        </is>
      </c>
      <c r="M1" s="8" t="inlineStr">
        <is>
          <t>Status</t>
        </is>
      </c>
      <c r="N1" s="8" t="inlineStr">
        <is>
          <t>Outcome Date</t>
        </is>
      </c>
      <c r="O1" s="8" t="inlineStr">
        <is>
          <t>Reason</t>
        </is>
      </c>
      <c r="P1" s="9" t="inlineStr">
        <is>
          <t>Start Date</t>
        </is>
      </c>
      <c r="Q1" s="10" t="inlineStr">
        <is>
          <t>End Date</t>
        </is>
      </c>
      <c r="R1" s="11" t="inlineStr">
        <is>
          <t>Duration</t>
        </is>
      </c>
      <c r="S1" s="8" t="inlineStr">
        <is>
          <t>Contact / Recruiter</t>
        </is>
      </c>
      <c r="T1" s="8" t="inlineStr">
        <is>
          <t>Salary</t>
        </is>
      </c>
      <c r="U1" s="12" t="inlineStr">
        <is>
          <t>Vacancies</t>
        </is>
      </c>
      <c r="V1" s="8" t="inlineStr">
        <is>
          <t>Work Rights Required</t>
        </is>
      </c>
      <c r="W1" s="8" t="inlineStr">
        <is>
          <t>Priority</t>
        </is>
      </c>
      <c r="X1" s="8" t="inlineStr">
        <is>
          <t>Next Action</t>
        </is>
      </c>
      <c r="Y1" s="8" t="inlineStr">
        <is>
          <t>Follow-up Date</t>
        </is>
      </c>
      <c r="Z1" s="8" t="inlineStr">
        <is>
          <t>Portal Link</t>
        </is>
      </c>
      <c r="AA1" s="8" t="inlineStr">
        <is>
          <t>Resume - Experience</t>
        </is>
      </c>
      <c r="AB1" s="8" t="inlineStr">
        <is>
          <t>Resume - Projects</t>
        </is>
      </c>
      <c r="AC1" s="8" t="inlineStr">
        <is>
          <t>Notes</t>
        </is>
      </c>
    </row>
    <row r="2" ht="19.5" customHeight="1" s="31">
      <c r="A2" s="13" t="inlineStr">
        <is>
          <t>bank of america</t>
        </is>
      </c>
      <c r="B2" s="13" t="inlineStr">
        <is>
          <t>Global Technology Summer Analyst</t>
        </is>
      </c>
      <c r="C2" s="13" t="inlineStr">
        <is>
          <t>Internship</t>
        </is>
      </c>
      <c r="D2" s="13" t="inlineStr">
        <is>
          <t>NSW</t>
        </is>
      </c>
      <c r="E2" s="13" t="n"/>
      <c r="F2" s="14" t="n">
        <v>46231</v>
      </c>
      <c r="G2" s="14" t="n">
        <v>46121</v>
      </c>
      <c r="H2" s="13" t="inlineStr">
        <is>
          <t>Prosple</t>
        </is>
      </c>
      <c r="I2" s="13" t="n"/>
      <c r="J2" s="13" t="n"/>
      <c r="K2" s="13" t="n"/>
      <c r="L2" s="13" t="n"/>
      <c r="M2" s="13" t="inlineStr">
        <is>
          <t>Rejected</t>
        </is>
      </c>
      <c r="N2" s="13" t="n"/>
      <c r="O2" s="13" t="n"/>
      <c r="P2" s="13" t="n"/>
      <c r="Q2" s="15" t="n"/>
      <c r="R2" s="16">
        <f>IF(AND(P2&lt;&gt;"",Q2&lt;&gt;""),Q2-P2,"")</f>
        <v/>
      </c>
      <c r="S2" s="13" t="n"/>
      <c r="T2" s="13" t="n"/>
      <c r="U2" s="20" t="n"/>
      <c r="V2" s="13" t="inlineStr">
        <is>
          <t>No</t>
        </is>
      </c>
      <c r="W2" s="13" t="n"/>
      <c r="X2" s="13" t="n"/>
      <c r="Y2" s="13" t="n"/>
      <c r="Z2" s="13" t="n"/>
      <c r="AA2" s="13" t="inlineStr">
        <is>
          <t>NDIS Quality and Safeguards Commission Data Analyst Intern</t>
        </is>
      </c>
      <c r="AB2" s="13" t="inlineStr">
        <is>
          <t>Bank Loan Application Tracking Dashboard, Credit Fraud Detection Classifier Analysis, Bitcoin’s Impact on a Portfolio Analysis Report, Stock Prices Forecasting</t>
        </is>
      </c>
      <c r="AC2" s="13" t="n"/>
    </row>
    <row r="3" ht="19.5" customHeight="1" s="31">
      <c r="A3" s="13" t="inlineStr">
        <is>
          <t>capgemini</t>
        </is>
      </c>
      <c r="B3" s="13" t="inlineStr">
        <is>
          <t>Business Analysis</t>
        </is>
      </c>
      <c r="C3" s="13" t="inlineStr">
        <is>
          <t>Graduate Program</t>
        </is>
      </c>
      <c r="D3" s="13" t="inlineStr">
        <is>
          <t>NSW</t>
        </is>
      </c>
      <c r="E3" s="13" t="n"/>
      <c r="F3" s="14" t="n">
        <v>46153</v>
      </c>
      <c r="G3" s="14" t="n">
        <v>46121</v>
      </c>
      <c r="H3" s="13" t="inlineStr">
        <is>
          <t>Prosple</t>
        </is>
      </c>
      <c r="I3" s="13" t="n"/>
      <c r="J3" s="13" t="n"/>
      <c r="K3" s="13" t="n"/>
      <c r="L3" s="13" t="n"/>
      <c r="M3" s="13" t="inlineStr">
        <is>
          <t>Rejected</t>
        </is>
      </c>
      <c r="N3" s="13" t="n"/>
      <c r="O3" s="13" t="n"/>
      <c r="P3" s="13" t="n"/>
      <c r="Q3" s="17" t="n"/>
      <c r="R3" s="18">
        <f>IF(AND(P3&lt;&gt;"",Q3&lt;&gt;""),Q3-P3,"")</f>
        <v/>
      </c>
      <c r="S3" s="13" t="n"/>
      <c r="T3" s="13" t="n"/>
      <c r="U3" s="20" t="n"/>
      <c r="V3" s="13" t="n"/>
      <c r="W3" s="13" t="n"/>
      <c r="X3" s="13" t="n"/>
      <c r="Y3" s="13" t="n"/>
      <c r="Z3" s="13" t="n"/>
      <c r="AA3" s="13" t="inlineStr">
        <is>
          <t>NDIS Quality and Safeguards Commission Data Analyst Intern</t>
        </is>
      </c>
      <c r="AB3" s="13" t="inlineStr">
        <is>
          <t>Vendor Performance &amp; Procurement Analytics Dashboard, Insurance Risk &amp; Claims Analytics Dashboard, Credit Fraud Detection Classifier Analysis, Customer Churn Forecasting Analysis in Telecom Services</t>
        </is>
      </c>
      <c r="AC3" s="13" t="n"/>
    </row>
    <row r="4" ht="19.5" customHeight="1" s="31">
      <c r="A4" s="13" t="inlineStr">
        <is>
          <t>DXC</t>
        </is>
      </c>
      <c r="B4" s="13" t="inlineStr">
        <is>
          <t>Business Analyst business pathway</t>
        </is>
      </c>
      <c r="C4" s="13" t="inlineStr">
        <is>
          <t>Graduate Program</t>
        </is>
      </c>
      <c r="D4" s="13" t="inlineStr">
        <is>
          <t>NSW</t>
        </is>
      </c>
      <c r="E4" s="13" t="n"/>
      <c r="F4" s="14" t="n">
        <v>46125</v>
      </c>
      <c r="G4" s="14" t="n">
        <v>46110</v>
      </c>
      <c r="H4" s="13" t="inlineStr">
        <is>
          <t>Prosple</t>
        </is>
      </c>
      <c r="I4" s="13" t="n"/>
      <c r="J4" s="13" t="n"/>
      <c r="K4" s="13" t="n"/>
      <c r="L4" s="13" t="n"/>
      <c r="M4" s="13" t="inlineStr">
        <is>
          <t>Rejected</t>
        </is>
      </c>
      <c r="N4" s="13" t="n"/>
      <c r="O4" s="13" t="n"/>
      <c r="P4" s="14" t="n">
        <v>46419</v>
      </c>
      <c r="Q4" s="17" t="n"/>
      <c r="R4" s="18">
        <f>IF(AND(P4&lt;&gt;"",Q4&lt;&gt;""),Q4-P4,"")</f>
        <v/>
      </c>
      <c r="S4" s="13" t="n"/>
      <c r="T4" s="13" t="n"/>
      <c r="U4" s="20" t="n"/>
      <c r="V4" s="13" t="n"/>
      <c r="W4" s="13" t="n"/>
      <c r="X4" s="13" t="n"/>
      <c r="Y4" s="13" t="n"/>
      <c r="Z4" s="13" t="n"/>
      <c r="AA4" s="13" t="inlineStr">
        <is>
          <t>NDIS Quality and Safeguards Commission Data Analyst Intern</t>
        </is>
      </c>
      <c r="AB4" s="13" t="inlineStr">
        <is>
          <t>Insurance Risk &amp; Claims Analytics Dashboard, Bank Fraud Transaction Monitoring Dashboard, Customer Segmentation in Bank Campaigns Presentation, Customer Churn Forecasting Analysis in Telecom Services</t>
        </is>
      </c>
      <c r="AC4" s="13" t="n"/>
    </row>
    <row r="5" ht="19.5" customHeight="1" s="31">
      <c r="A5" s="13" t="inlineStr">
        <is>
          <t>grant thornton</t>
        </is>
      </c>
      <c r="B5" s="13" t="inlineStr">
        <is>
          <t>data analytics</t>
        </is>
      </c>
      <c r="C5" s="13" t="inlineStr">
        <is>
          <t>Graduate Program</t>
        </is>
      </c>
      <c r="D5" s="13" t="inlineStr">
        <is>
          <t>NSW</t>
        </is>
      </c>
      <c r="E5" s="13" t="n"/>
      <c r="F5" s="14" t="n">
        <v>46118</v>
      </c>
      <c r="G5" s="14" t="n">
        <v>46111</v>
      </c>
      <c r="H5" s="13" t="inlineStr">
        <is>
          <t>Prosple</t>
        </is>
      </c>
      <c r="I5" s="13" t="n"/>
      <c r="J5" s="13" t="n"/>
      <c r="K5" s="13" t="n"/>
      <c r="L5" s="13" t="n"/>
      <c r="M5" s="13" t="inlineStr">
        <is>
          <t>Applied</t>
        </is>
      </c>
      <c r="N5" s="13" t="n"/>
      <c r="O5" s="13" t="n"/>
      <c r="P5" s="13" t="n"/>
      <c r="Q5" s="17" t="n"/>
      <c r="R5" s="18">
        <f>IF(AND(P5&lt;&gt;"",Q5&lt;&gt;""),Q5-P5,"")</f>
        <v/>
      </c>
      <c r="S5" s="13" t="n"/>
      <c r="T5" s="13" t="n"/>
      <c r="U5" s="20" t="n"/>
      <c r="V5" s="13" t="n"/>
      <c r="W5" s="13" t="n"/>
      <c r="X5" s="13" t="n"/>
      <c r="Y5" s="13" t="n"/>
      <c r="Z5" s="13" t="n"/>
      <c r="AA5" s="13" t="inlineStr">
        <is>
          <t>NDIS Quality and Safeguards Commission Data Analyst Intern</t>
        </is>
      </c>
      <c r="AB5" s="13" t="inlineStr">
        <is>
          <t>Insurance Risk &amp; Claims Analytics Dashboard, Credit Fraud Detection Classifier Analysis, Customer Segmentation in Bank Campaigns Presentation, Customer Churn Forecasting Analysis in Telecom Services</t>
        </is>
      </c>
      <c r="AC5" s="13" t="n"/>
    </row>
    <row r="6" ht="18" customHeight="1" s="31">
      <c r="A6" s="13" t="inlineStr">
        <is>
          <t>accenture</t>
        </is>
      </c>
      <c r="B6" s="13" t="inlineStr">
        <is>
          <t>management analyst Consulting Analyst/Graduate Program 2027 – Australia and New Zealand</t>
        </is>
      </c>
      <c r="C6" s="13" t="inlineStr">
        <is>
          <t>Graduate Program</t>
        </is>
      </c>
      <c r="D6" s="13" t="inlineStr">
        <is>
          <t>NSW</t>
        </is>
      </c>
      <c r="E6" s="13" t="n"/>
      <c r="F6" s="14" t="n">
        <v>46107</v>
      </c>
      <c r="G6" s="14" t="n">
        <v>46107</v>
      </c>
      <c r="H6" s="13" t="inlineStr">
        <is>
          <t>Prosple</t>
        </is>
      </c>
      <c r="I6" s="13" t="n"/>
      <c r="J6" s="13" t="n"/>
      <c r="K6" s="13" t="n"/>
      <c r="L6" s="13" t="n"/>
      <c r="M6" s="13" t="inlineStr">
        <is>
          <t>Rejected</t>
        </is>
      </c>
      <c r="N6" s="13" t="n"/>
      <c r="O6" s="13" t="n"/>
      <c r="P6" s="13" t="n"/>
      <c r="Q6" s="17" t="n"/>
      <c r="R6" s="18">
        <f>IF(AND(P6&lt;&gt;"",Q6&lt;&gt;""),Q6-P6,"")</f>
        <v/>
      </c>
      <c r="S6" s="13" t="n"/>
      <c r="T6" s="13" t="n"/>
      <c r="U6" s="20" t="n"/>
      <c r="V6" s="13" t="n"/>
      <c r="W6" s="13" t="n"/>
      <c r="X6" s="13" t="n"/>
      <c r="Y6" s="13" t="n"/>
      <c r="Z6" s="13" t="n"/>
      <c r="AA6" s="13" t="inlineStr">
        <is>
          <t>NDIS Quality and Safeguards Commission Data Analyst Intern</t>
        </is>
      </c>
      <c r="AB6" s="13" t="inlineStr">
        <is>
          <t>Insurance Risk &amp; Claims Analytics Dashboard, Bank Loan Application Tracking Dashboard, Customer Churn Forecasting Analysis in Telecom Services, Artist Selection Presentation</t>
        </is>
      </c>
      <c r="AC6" s="13" t="n"/>
    </row>
    <row r="7" ht="18" customHeight="1" s="31">
      <c r="A7" s="13" t="inlineStr">
        <is>
          <t>ADN</t>
        </is>
      </c>
      <c r="B7" s="13" t="inlineStr">
        <is>
          <t>Junior Market Analyst</t>
        </is>
      </c>
      <c r="C7" s="13" t="inlineStr">
        <is>
          <t>Internship</t>
        </is>
      </c>
      <c r="D7" s="13" t="inlineStr">
        <is>
          <t>NSW</t>
        </is>
      </c>
      <c r="E7" s="13" t="n"/>
      <c r="F7" s="14" t="n">
        <v>46129</v>
      </c>
      <c r="G7" s="14" t="n">
        <v>46129</v>
      </c>
      <c r="H7" s="13" t="inlineStr">
        <is>
          <t>Prosple</t>
        </is>
      </c>
      <c r="I7" s="13" t="n"/>
      <c r="J7" s="13" t="n"/>
      <c r="K7" s="13" t="n"/>
      <c r="L7" s="13" t="n"/>
      <c r="M7" s="13" t="inlineStr">
        <is>
          <t>Rejected</t>
        </is>
      </c>
      <c r="N7" s="13" t="n"/>
      <c r="O7" s="13" t="n"/>
      <c r="P7" s="13" t="n"/>
      <c r="Q7" s="17" t="n"/>
      <c r="R7" s="18">
        <f>IF(AND(P7&lt;&gt;"",Q7&lt;&gt;""),Q7-P7,"")</f>
        <v/>
      </c>
      <c r="S7" s="13" t="n"/>
      <c r="T7" s="13" t="n"/>
      <c r="U7" s="20" t="n"/>
      <c r="V7" s="13" t="n"/>
      <c r="W7" s="13" t="n"/>
      <c r="X7" s="13" t="n"/>
      <c r="Y7" s="13" t="n"/>
      <c r="Z7" s="13" t="n"/>
      <c r="AA7" s="13" t="inlineStr">
        <is>
          <t>NDIS Quality and Safeguards Commission Data Analyst Intern</t>
        </is>
      </c>
      <c r="AB7" s="13" t="inlineStr">
        <is>
          <t>Vendor Performance on Marketing Strategies Dashboard, E-commerce Marketing Performance Analytics Dashboard, Meta Ad Performance and Marketing Analytics Dashboard, Bank Loan Application Tracking Dashboard, Customer Segmentation in Marketing Bank Campaigns Presentation</t>
        </is>
      </c>
      <c r="AC7" s="13" t="n"/>
    </row>
    <row r="8" ht="18" customHeight="1" s="31">
      <c r="A8" s="13" t="inlineStr">
        <is>
          <t xml:space="preserve">atlassian </t>
        </is>
      </c>
      <c r="B8" s="13" t="inlineStr">
        <is>
          <t xml:space="preserve">Data Science </t>
        </is>
      </c>
      <c r="C8" s="13" t="inlineStr">
        <is>
          <t>Internship</t>
        </is>
      </c>
      <c r="D8" s="13" t="inlineStr">
        <is>
          <t>Remote</t>
        </is>
      </c>
      <c r="E8" s="13" t="n"/>
      <c r="F8" s="14" t="n">
        <v>46129</v>
      </c>
      <c r="G8" s="14" t="n">
        <v>46106</v>
      </c>
      <c r="H8" s="13" t="inlineStr">
        <is>
          <t>Prosple</t>
        </is>
      </c>
      <c r="I8" s="13" t="n"/>
      <c r="J8" s="13" t="n"/>
      <c r="K8" s="13" t="n"/>
      <c r="L8" s="13" t="n"/>
      <c r="M8" s="13" t="inlineStr">
        <is>
          <t>Rejected</t>
        </is>
      </c>
      <c r="N8" s="13" t="n"/>
      <c r="O8" s="13" t="n"/>
      <c r="P8" s="19" t="inlineStr">
        <is>
          <t>1 Nov 2026 - 30 Nov 2026</t>
        </is>
      </c>
      <c r="Q8" s="17" t="n"/>
      <c r="R8" s="18">
        <f>IF(AND(P8&lt;&gt;"",Q8&lt;&gt;""),Q8-P8,"")</f>
        <v/>
      </c>
      <c r="S8" s="13" t="n"/>
      <c r="T8" s="13" t="n"/>
      <c r="U8" s="20" t="n"/>
      <c r="V8" s="13" t="n"/>
      <c r="W8" s="13" t="n"/>
      <c r="X8" s="13" t="n"/>
      <c r="Y8" s="13" t="n"/>
      <c r="Z8" s="13" t="n"/>
      <c r="AA8" s="13" t="inlineStr">
        <is>
          <t>NDIS Quality and Safeguards Commission Data Analyst Intern</t>
        </is>
      </c>
      <c r="AB8" s="13" t="inlineStr">
        <is>
          <t>Vendor Performance &amp; Procurement Analysis and Dashboard, Credit Fraud Detection Classifier Analysis, Customer Churn Forecasting Analysis in Telecom Services, Amazon Prime Movies and TV Shows Clustering Analysis</t>
        </is>
      </c>
      <c r="AC8" s="13" t="n"/>
    </row>
    <row r="9" ht="18" customHeight="1" s="31">
      <c r="A9" s="13" t="inlineStr">
        <is>
          <t>ausnet</t>
        </is>
      </c>
      <c r="B9" s="13" t="inlineStr">
        <is>
          <t>data analytics</t>
        </is>
      </c>
      <c r="C9" s="13" t="inlineStr">
        <is>
          <t>Graduate Program</t>
        </is>
      </c>
      <c r="D9" s="13" t="inlineStr">
        <is>
          <t>NSW</t>
        </is>
      </c>
      <c r="E9" s="13" t="n"/>
      <c r="F9" s="14" t="n">
        <v>46121</v>
      </c>
      <c r="G9" s="14" t="n">
        <v>46121</v>
      </c>
      <c r="H9" s="13" t="inlineStr">
        <is>
          <t>Prosple</t>
        </is>
      </c>
      <c r="I9" s="13" t="n"/>
      <c r="J9" s="13" t="n"/>
      <c r="K9" s="13" t="n"/>
      <c r="L9" s="13" t="n"/>
      <c r="M9" s="13" t="inlineStr">
        <is>
          <t>Rejected</t>
        </is>
      </c>
      <c r="N9" s="13" t="n"/>
      <c r="O9" s="13" t="n"/>
      <c r="P9" s="13" t="n"/>
      <c r="Q9" s="17" t="n"/>
      <c r="R9" s="18">
        <f>IF(AND(P9&lt;&gt;"",Q9&lt;&gt;""),Q9-P9,"")</f>
        <v/>
      </c>
      <c r="S9" s="13" t="n"/>
      <c r="T9" s="13" t="n"/>
      <c r="U9" s="20" t="n"/>
      <c r="V9" s="13" t="n"/>
      <c r="W9" s="13" t="n"/>
      <c r="X9" s="13" t="n"/>
      <c r="Y9" s="13" t="n"/>
      <c r="Z9" s="13" t="n"/>
      <c r="AA9" s="13" t="inlineStr">
        <is>
          <t>NDIS Quality and Safeguards Commission Data Analyst Intern</t>
        </is>
      </c>
      <c r="AB9" s="13" t="inlineStr">
        <is>
          <t>Bank Fraud Transaction Monitoring Dashboard, Credit Fraud Detection Classifier Analysis, Customer Churn Forecasting Analysis in Telecom Services, Stock Prices Forecasting</t>
        </is>
      </c>
      <c r="AC9" s="13" t="n"/>
    </row>
    <row r="10" ht="18" customHeight="1" s="31">
      <c r="A10" s="13" t="inlineStr">
        <is>
          <t>BDO</t>
        </is>
      </c>
      <c r="B10" s="13" t="inlineStr">
        <is>
          <t>Digital &amp; Technology OR Research and Development</t>
        </is>
      </c>
      <c r="C10" s="13" t="inlineStr">
        <is>
          <t>Graduate Program</t>
        </is>
      </c>
      <c r="D10" s="13" t="inlineStr">
        <is>
          <t>NSW</t>
        </is>
      </c>
      <c r="E10" s="13" t="n"/>
      <c r="F10" s="14" t="n">
        <v>46104</v>
      </c>
      <c r="G10" s="14" t="n">
        <v>46103</v>
      </c>
      <c r="H10" s="13" t="inlineStr">
        <is>
          <t>Prosple</t>
        </is>
      </c>
      <c r="I10" s="13" t="n"/>
      <c r="J10" s="13" t="n"/>
      <c r="K10" s="13" t="n"/>
      <c r="L10" s="13" t="n"/>
      <c r="M10" s="13" t="inlineStr">
        <is>
          <t>Rejected</t>
        </is>
      </c>
      <c r="N10" s="13" t="n"/>
      <c r="O10" s="13" t="n"/>
      <c r="P10" s="14" t="n">
        <v>46405</v>
      </c>
      <c r="Q10" s="17" t="n"/>
      <c r="R10" s="18">
        <f>IF(AND(P10&lt;&gt;"",Q10&lt;&gt;""),Q10-P10,"")</f>
        <v/>
      </c>
      <c r="S10" s="13" t="n"/>
      <c r="T10" s="13" t="inlineStr">
        <is>
          <t>75k</t>
        </is>
      </c>
      <c r="U10" s="20" t="inlineStr">
        <is>
          <t>1-8</t>
        </is>
      </c>
      <c r="V10" s="13" t="n"/>
      <c r="W10" s="13" t="n"/>
      <c r="X10" s="13" t="n"/>
      <c r="Y10" s="13" t="n"/>
      <c r="Z10" s="13" t="n"/>
      <c r="AA10" s="13" t="inlineStr">
        <is>
          <t>NDIS Quality and Safeguards Commission Data Analyst Intern</t>
        </is>
      </c>
      <c r="AB10" s="13" t="inlineStr">
        <is>
          <t xml:space="preserve">Insurance Risk &amp; Claims Analysis Dashboard, Bank Loan Application Tracking Dashboard, Credit Fraud Detection Classifier Analysis </t>
        </is>
      </c>
      <c r="AC10" s="13" t="n"/>
    </row>
    <row r="11" ht="18" customHeight="1" s="31">
      <c r="A11" s="13" t="inlineStr">
        <is>
          <t>coles</t>
        </is>
      </c>
      <c r="B11" s="13" t="inlineStr">
        <is>
          <t>digital stream data and analytics</t>
        </is>
      </c>
      <c r="C11" s="13" t="inlineStr">
        <is>
          <t>Graduate Program</t>
        </is>
      </c>
      <c r="D11" s="13" t="inlineStr">
        <is>
          <t>NSW</t>
        </is>
      </c>
      <c r="E11" s="13" t="n"/>
      <c r="F11" s="14" t="n">
        <v>46124</v>
      </c>
      <c r="G11" s="14" t="n">
        <v>46110</v>
      </c>
      <c r="H11" s="13" t="inlineStr">
        <is>
          <t>Prosple</t>
        </is>
      </c>
      <c r="I11" s="13" t="n"/>
      <c r="J11" s="13" t="n"/>
      <c r="K11" s="13" t="n"/>
      <c r="L11" s="13" t="n"/>
      <c r="M11" s="13" t="inlineStr">
        <is>
          <t>Rejected</t>
        </is>
      </c>
      <c r="N11" s="13" t="n"/>
      <c r="O11" s="13" t="n"/>
      <c r="P11" s="14" t="n">
        <v>46419</v>
      </c>
      <c r="Q11" s="17" t="n"/>
      <c r="R11" s="18">
        <f>IF(AND(P11&lt;&gt;"",Q11&lt;&gt;""),Q11-P11,"")</f>
        <v/>
      </c>
      <c r="S11" s="13" t="n"/>
      <c r="T11" s="13" t="n"/>
      <c r="U11" s="20" t="n"/>
      <c r="V11" s="13" t="n"/>
      <c r="W11" s="13" t="n"/>
      <c r="X11" s="13" t="n"/>
      <c r="Y11" s="13" t="n"/>
      <c r="Z11" s="13" t="n"/>
      <c r="AA11" s="13" t="n"/>
      <c r="AB11" s="13" t="n"/>
      <c r="AC11" s="13" t="n"/>
    </row>
    <row r="12" ht="18" customHeight="1" s="31">
      <c r="A12" s="13" t="inlineStr">
        <is>
          <t>Commonwealth Bank</t>
        </is>
      </c>
      <c r="B12" s="13" t="inlineStr">
        <is>
          <t>Advanced Analytics</t>
        </is>
      </c>
      <c r="C12" s="13" t="inlineStr">
        <is>
          <t>Graduate Program</t>
        </is>
      </c>
      <c r="D12" s="13" t="inlineStr">
        <is>
          <t>NSW</t>
        </is>
      </c>
      <c r="E12" s="13" t="n"/>
      <c r="F12" s="14" t="n">
        <v>46133</v>
      </c>
      <c r="G12" s="14" t="n">
        <v>46121</v>
      </c>
      <c r="H12" s="13" t="inlineStr">
        <is>
          <t>Prosple</t>
        </is>
      </c>
      <c r="I12" s="13" t="n"/>
      <c r="J12" s="13" t="n"/>
      <c r="K12" s="13" t="n"/>
      <c r="L12" s="13" t="n"/>
      <c r="M12" s="13" t="inlineStr">
        <is>
          <t>Rejected</t>
        </is>
      </c>
      <c r="N12" s="13" t="n"/>
      <c r="O12" s="13" t="n"/>
      <c r="P12" s="13" t="n"/>
      <c r="Q12" s="17" t="n"/>
      <c r="R12" s="18">
        <f>IF(AND(P12&lt;&gt;"",Q12&lt;&gt;""),Q12-P12,"")</f>
        <v/>
      </c>
      <c r="S12" s="13" t="n"/>
      <c r="T12" s="13" t="n"/>
      <c r="U12" s="20" t="n"/>
      <c r="V12" s="13" t="n"/>
      <c r="W12" s="13" t="n"/>
      <c r="X12" s="13" t="n"/>
      <c r="Y12" s="13" t="n"/>
      <c r="Z12" s="13" t="n"/>
      <c r="AA12" s="13" t="inlineStr">
        <is>
          <t>NDIS Quality and Safeguards Commission Data Analyst Intern</t>
        </is>
      </c>
      <c r="AB12" s="13" t="inlineStr">
        <is>
          <t>Bank Fraud Transaction Monitoring Dashboard, Bank Loan Application Tracking Dashboard, Credit Fraud Detection Classifier Analysis, Customer Segmentation in Bank Campaigns Presentation</t>
        </is>
      </c>
      <c r="AC12" s="13" t="n"/>
    </row>
    <row r="13" ht="18" customHeight="1" s="31">
      <c r="A13" s="13" t="inlineStr">
        <is>
          <t>Deloitte</t>
        </is>
      </c>
      <c r="B13" s="13" t="inlineStr">
        <is>
          <t>Strategy, Risk &amp; Transactions</t>
        </is>
      </c>
      <c r="C13" s="13" t="inlineStr">
        <is>
          <t>Graduate Program</t>
        </is>
      </c>
      <c r="D13" s="13" t="inlineStr">
        <is>
          <t>NSW</t>
        </is>
      </c>
      <c r="E13" s="13" t="n"/>
      <c r="F13" s="14" t="n">
        <v>46119</v>
      </c>
      <c r="G13" s="14" t="n">
        <v>46106</v>
      </c>
      <c r="H13" s="13" t="inlineStr">
        <is>
          <t>Prosple</t>
        </is>
      </c>
      <c r="I13" s="13" t="n"/>
      <c r="J13" s="13" t="n"/>
      <c r="K13" s="13" t="n"/>
      <c r="L13" s="13" t="n"/>
      <c r="M13" s="13" t="inlineStr">
        <is>
          <t>Rejected</t>
        </is>
      </c>
      <c r="N13" s="13" t="n"/>
      <c r="O13" s="13" t="n"/>
      <c r="P13" s="14" t="n">
        <v>46447</v>
      </c>
      <c r="Q13" s="17" t="n"/>
      <c r="R13" s="18">
        <f>IF(AND(P13&lt;&gt;"",Q13&lt;&gt;""),Q13-P13,"")</f>
        <v/>
      </c>
      <c r="S13" s="13" t="n"/>
      <c r="T13" s="13" t="inlineStr">
        <is>
          <t>67-72k</t>
        </is>
      </c>
      <c r="U13" s="20" t="inlineStr">
        <is>
          <t>1-50</t>
        </is>
      </c>
      <c r="V13" s="13" t="n"/>
      <c r="W13" s="13" t="n"/>
      <c r="X13" s="13" t="n"/>
      <c r="Y13" s="13" t="n"/>
      <c r="Z13" s="13" t="n"/>
      <c r="AA13" s="13" t="inlineStr">
        <is>
          <t>NDIS Quality and Safeguards Commission Data Analyst Intern</t>
        </is>
      </c>
      <c r="AB13" s="13" t="inlineStr">
        <is>
          <t xml:space="preserve">Insurance Risk &amp; Claims Analytics Dashboard, Credit Fraud Detection Classifier Analysis, Bank Loan Application Tracking Dashboard </t>
        </is>
      </c>
      <c r="AC13" s="13" t="n"/>
    </row>
    <row r="14" ht="18" customHeight="1" s="31">
      <c r="A14" s="13" t="inlineStr">
        <is>
          <t>EY</t>
        </is>
      </c>
      <c r="B14" s="13" t="inlineStr">
        <is>
          <t>Consulting now is microsoft or sap not AI and Data</t>
        </is>
      </c>
      <c r="C14" s="13" t="inlineStr">
        <is>
          <t>Graduate Program</t>
        </is>
      </c>
      <c r="D14" s="13" t="inlineStr">
        <is>
          <t>QLD</t>
        </is>
      </c>
      <c r="E14" s="13" t="n"/>
      <c r="F14" s="14" t="n">
        <v>46199</v>
      </c>
      <c r="G14" s="14" t="n">
        <v>46119</v>
      </c>
      <c r="H14" s="13" t="inlineStr">
        <is>
          <t>Prosple</t>
        </is>
      </c>
      <c r="I14" s="13" t="n"/>
      <c r="J14" s="13" t="n"/>
      <c r="K14" s="13" t="n"/>
      <c r="L14" s="13" t="n"/>
      <c r="M14" s="13" t="inlineStr">
        <is>
          <t>Rejected</t>
        </is>
      </c>
      <c r="N14" s="13" t="n"/>
      <c r="O14" s="13" t="n"/>
      <c r="P14" s="14" t="inlineStr">
        <is>
          <t>1 Feb 2027 - 28 Feb 2027</t>
        </is>
      </c>
      <c r="Q14" s="17" t="n"/>
      <c r="R14" s="18">
        <f>IF(AND(P14&lt;&gt;"",Q14&lt;&gt;""),Q14-P14,"")</f>
        <v/>
      </c>
      <c r="S14" s="13" t="n"/>
      <c r="T14" s="13" t="inlineStr">
        <is>
          <t xml:space="preserve"> 64k-90k </t>
        </is>
      </c>
      <c r="U14" s="20" t="inlineStr">
        <is>
          <t>1-100</t>
        </is>
      </c>
      <c r="V14" s="13" t="n"/>
      <c r="W14" s="13" t="n"/>
      <c r="X14" s="13" t="n"/>
      <c r="Y14" s="13" t="n"/>
      <c r="Z14" s="13" t="n"/>
      <c r="AA14" s="13" t="inlineStr">
        <is>
          <t>NDIS Quality and Safeguards Commission Data Analyst Intern</t>
        </is>
      </c>
      <c r="AB14" s="13" t="inlineStr">
        <is>
          <t>Vendor Performance &amp; Procurement Analytics Dashboard, Credit Fraud Detection Classifier Analysis, Customer Churn Forecasting Analysis in Telecom Services, Stock Prices Forecasting Analysis Report</t>
        </is>
      </c>
      <c r="AC14" s="13" t="n"/>
    </row>
    <row r="15" ht="18" customHeight="1" s="31">
      <c r="A15" s="13" t="inlineStr">
        <is>
          <t>GOVERNMENT</t>
        </is>
      </c>
      <c r="B15" s="13" t="inlineStr">
        <is>
          <t>Data</t>
        </is>
      </c>
      <c r="C15" s="13" t="inlineStr">
        <is>
          <t>Graduate Program</t>
        </is>
      </c>
      <c r="D15" s="13" t="inlineStr">
        <is>
          <t>QLD</t>
        </is>
      </c>
      <c r="E15" s="13" t="n"/>
      <c r="F15" s="14" t="n">
        <v>46112</v>
      </c>
      <c r="G15" s="14" t="n">
        <v>46106</v>
      </c>
      <c r="H15" s="13" t="inlineStr">
        <is>
          <t>Prosple</t>
        </is>
      </c>
      <c r="I15" s="13" t="n"/>
      <c r="J15" s="13" t="n"/>
      <c r="K15" s="13" t="n"/>
      <c r="L15" s="13" t="n"/>
      <c r="M15" s="13" t="inlineStr">
        <is>
          <t>Rejected</t>
        </is>
      </c>
      <c r="N15" s="13" t="n"/>
      <c r="O15" s="13" t="n"/>
      <c r="P15" s="14" t="n">
        <v>46415</v>
      </c>
      <c r="Q15" s="17" t="n"/>
      <c r="R15" s="18">
        <f>IF(AND(P15&lt;&gt;"",Q15&lt;&gt;""),Q15-P15,"")</f>
        <v/>
      </c>
      <c r="S15" s="13" t="n"/>
      <c r="T15" s="13" t="inlineStr">
        <is>
          <t>84k</t>
        </is>
      </c>
      <c r="U15" s="20" t="inlineStr">
        <is>
          <t>2-3</t>
        </is>
      </c>
      <c r="V15" s="13" t="n"/>
      <c r="W15" s="13" t="n"/>
      <c r="X15" s="13" t="n"/>
      <c r="Y15" s="13" t="n"/>
      <c r="Z15" s="13" t="n"/>
      <c r="AA15" s="13" t="inlineStr">
        <is>
          <t>NDIS Quality and Safeguards Commission Data Analyst Intern</t>
        </is>
      </c>
      <c r="AB15" s="13" t="inlineStr">
        <is>
          <t>Insurance Risk &amp; Claims Analytics Dashboard, Bank Loan Application Tracking Dashboard, Credit Fraud Detection Classifier Analysis</t>
        </is>
      </c>
      <c r="AC15" s="13" t="n"/>
    </row>
    <row r="16" ht="18" customHeight="1" s="31">
      <c r="A16" s="13" t="inlineStr">
        <is>
          <t>Hoyoverse</t>
        </is>
      </c>
      <c r="B16" s="13" t="inlineStr">
        <is>
          <t xml:space="preserve">data analyst </t>
        </is>
      </c>
      <c r="C16" s="13" t="inlineStr">
        <is>
          <t>Internship</t>
        </is>
      </c>
      <c r="D16" s="13" t="inlineStr">
        <is>
          <t>Singapore</t>
        </is>
      </c>
      <c r="E16" s="13" t="n"/>
      <c r="F16" s="14" t="n">
        <v>46096</v>
      </c>
      <c r="G16" s="14" t="n">
        <v>46096</v>
      </c>
      <c r="H16" s="13" t="inlineStr">
        <is>
          <t>Prosple</t>
        </is>
      </c>
      <c r="I16" s="13" t="n"/>
      <c r="J16" s="13" t="n"/>
      <c r="K16" s="13" t="n"/>
      <c r="L16" s="13" t="n"/>
      <c r="M16" s="13" t="inlineStr">
        <is>
          <t>Rejected</t>
        </is>
      </c>
      <c r="N16" s="13" t="n"/>
      <c r="O16" s="13" t="n"/>
      <c r="P16" s="13" t="n"/>
      <c r="Q16" s="17" t="n"/>
      <c r="R16" s="18">
        <f>IF(AND(P16&lt;&gt;"",Q16&lt;&gt;""),Q16-P16,"")</f>
        <v/>
      </c>
      <c r="S16" s="13" t="n"/>
      <c r="T16" s="13" t="n"/>
      <c r="U16" s="20" t="n"/>
      <c r="V16" s="13" t="n"/>
      <c r="W16" s="13" t="n"/>
      <c r="X16" s="13" t="n"/>
      <c r="Y16" s="13" t="n"/>
      <c r="Z16" s="13" t="n"/>
      <c r="AA16" s="13" t="inlineStr">
        <is>
          <t>NDIS Quality and Safeguards Commission Data Analyst Intern</t>
        </is>
      </c>
      <c r="AB16" s="13" t="inlineStr">
        <is>
          <t>Meta Ad Performance &amp; Revenue Analytics Dashboard, Shopify Sales &amp; Customer Funnel Analytics Dashboard, Customer Churn Forecasting Analysis in Telecom Services</t>
        </is>
      </c>
      <c r="AC16" s="13" t="n"/>
    </row>
    <row r="17" ht="18" customHeight="1" s="31">
      <c r="A17" s="13" t="inlineStr">
        <is>
          <t>jane street</t>
        </is>
      </c>
      <c r="B17" s="13" t="inlineStr">
        <is>
          <t>sales and trading</t>
        </is>
      </c>
      <c r="C17" s="13" t="inlineStr">
        <is>
          <t>Internship</t>
        </is>
      </c>
      <c r="D17" s="13" t="inlineStr">
        <is>
          <t>QLD</t>
        </is>
      </c>
      <c r="E17" s="13" t="n"/>
      <c r="F17" s="14" t="n">
        <v>46121</v>
      </c>
      <c r="G17" s="14" t="n">
        <v>46121</v>
      </c>
      <c r="H17" s="13" t="inlineStr">
        <is>
          <t>Prosple</t>
        </is>
      </c>
      <c r="I17" s="13" t="n"/>
      <c r="J17" s="13" t="n"/>
      <c r="K17" s="13" t="n"/>
      <c r="L17" s="13" t="n"/>
      <c r="M17" s="13" t="inlineStr">
        <is>
          <t>Rejected</t>
        </is>
      </c>
      <c r="N17" s="13" t="n"/>
      <c r="O17" s="13" t="n"/>
      <c r="P17" s="13" t="n"/>
      <c r="Q17" s="17" t="n"/>
      <c r="R17" s="18">
        <f>IF(AND(P17&lt;&gt;"",Q17&lt;&gt;""),Q17-P17,"")</f>
        <v/>
      </c>
      <c r="S17" s="13" t="n"/>
      <c r="T17" s="13" t="n"/>
      <c r="U17" s="20" t="n"/>
      <c r="V17" s="13" t="n"/>
      <c r="W17" s="13" t="n"/>
      <c r="X17" s="13" t="n"/>
      <c r="Y17" s="13" t="n"/>
      <c r="Z17" s="13" t="n"/>
      <c r="AA17" s="13" t="inlineStr">
        <is>
          <t>NDIS Quality and Safeguards Commission Data Analyst Intern</t>
        </is>
      </c>
      <c r="AB17" s="13" t="inlineStr">
        <is>
          <t>Amazon Product Sales Analytics Dashboard, Customer Segmentation in Bank Campaigns Presentation, Bitcoin’s Impact on a Portfolio Analysis Report, Stock Prices Forecasting</t>
        </is>
      </c>
      <c r="AC17" s="13" t="n"/>
    </row>
    <row r="18" ht="18" customHeight="1" s="31">
      <c r="A18" s="13" t="inlineStr">
        <is>
          <t>KordaMentha</t>
        </is>
      </c>
      <c r="B18" s="13" t="inlineStr">
        <is>
          <t>Data Analytics</t>
        </is>
      </c>
      <c r="C18" s="13" t="inlineStr">
        <is>
          <t>Graduate Program</t>
        </is>
      </c>
      <c r="D18" s="13" t="inlineStr">
        <is>
          <t>WA</t>
        </is>
      </c>
      <c r="E18" s="13" t="n"/>
      <c r="F18" s="14" t="n">
        <v>46110</v>
      </c>
      <c r="G18" s="14" t="n">
        <v>46108</v>
      </c>
      <c r="H18" s="13" t="inlineStr">
        <is>
          <t>Prosple</t>
        </is>
      </c>
      <c r="I18" s="13" t="n"/>
      <c r="J18" s="13" t="n"/>
      <c r="K18" s="13" t="n"/>
      <c r="L18" s="13" t="n"/>
      <c r="M18" s="13" t="inlineStr">
        <is>
          <t>Rejected</t>
        </is>
      </c>
      <c r="N18" s="13" t="n"/>
      <c r="O18" s="13" t="n"/>
      <c r="P18" s="13" t="n"/>
      <c r="Q18" s="17" t="n"/>
      <c r="R18" s="18">
        <f>IF(AND(P18&lt;&gt;"",Q18&lt;&gt;""),Q18-P18,"")</f>
        <v/>
      </c>
      <c r="S18" s="13" t="n"/>
      <c r="T18" s="13" t="n"/>
      <c r="U18" s="20" t="n"/>
      <c r="V18" s="13" t="n"/>
      <c r="W18" s="13" t="n"/>
      <c r="X18" s="13" t="n"/>
      <c r="Y18" s="13" t="n"/>
      <c r="Z18" s="13" t="n"/>
      <c r="AA18" s="13" t="inlineStr">
        <is>
          <t>NDIS Quality and Safeguards Commission Data Analyst Intern</t>
        </is>
      </c>
      <c r="AB18" s="13" t="inlineStr">
        <is>
          <t xml:space="preserve">Insurance Risk &amp; Claims Analytics Dashboard, Bank Fraud Transaction Monitoring Dashboard, Credit Fraud Detection Classifier Analysis, Bitcoin’s Risk Analysis on a Portfolio Report </t>
        </is>
      </c>
      <c r="AC18" s="13" t="n"/>
    </row>
    <row r="19" ht="18" customHeight="1" s="31">
      <c r="A19" s="13" t="inlineStr">
        <is>
          <t>leidos</t>
        </is>
      </c>
      <c r="B19" s="13" t="inlineStr">
        <is>
          <t>data sciencist</t>
        </is>
      </c>
      <c r="C19" s="13" t="inlineStr">
        <is>
          <t>Graduate Program</t>
        </is>
      </c>
      <c r="D19" s="13" t="inlineStr">
        <is>
          <t>VIC</t>
        </is>
      </c>
      <c r="E19" s="13" t="n"/>
      <c r="F19" s="14" t="n">
        <v>46119</v>
      </c>
      <c r="G19" s="14" t="n">
        <v>46118</v>
      </c>
      <c r="H19" s="13" t="inlineStr">
        <is>
          <t>Prosple</t>
        </is>
      </c>
      <c r="I19" s="13" t="n"/>
      <c r="J19" s="13" t="n"/>
      <c r="K19" s="13" t="n"/>
      <c r="L19" s="13" t="n"/>
      <c r="M19" s="13" t="inlineStr">
        <is>
          <t>Rejected</t>
        </is>
      </c>
      <c r="N19" s="13" t="n"/>
      <c r="O19" s="13" t="n"/>
      <c r="P19" s="13" t="n"/>
      <c r="Q19" s="17" t="n"/>
      <c r="R19" s="18">
        <f>IF(AND(P19&lt;&gt;"",Q19&lt;&gt;""),Q19-P19,"")</f>
        <v/>
      </c>
      <c r="S19" s="13" t="n"/>
      <c r="T19" s="13" t="n"/>
      <c r="U19" s="20" t="n"/>
      <c r="V19" s="13" t="n"/>
      <c r="W19" s="13" t="n"/>
      <c r="X19" s="13" t="n"/>
      <c r="Y19" s="13" t="n"/>
      <c r="Z19" s="13" t="n"/>
      <c r="AA19" s="13" t="inlineStr">
        <is>
          <t>NDIS Quality and Safeguards Commission Data Analyst Intern</t>
        </is>
      </c>
      <c r="AB19" s="13" t="inlineStr">
        <is>
          <t>Vendor Performance &amp; Procurement Analytics Dashboard, Credit Fraud Detection Classifier Analysis, Customer Segmentation in Bank Campaigns Presentation, Home Price Predictor</t>
        </is>
      </c>
      <c r="AC19" s="13" t="n"/>
    </row>
    <row r="20" ht="18" customHeight="1" s="31">
      <c r="A20" s="13" t="inlineStr">
        <is>
          <t>Macquarie</t>
        </is>
      </c>
      <c r="B20" s="13" t="inlineStr">
        <is>
          <t xml:space="preserve">data anlaytics </t>
        </is>
      </c>
      <c r="C20" s="13" t="inlineStr">
        <is>
          <t>Graduate Program</t>
        </is>
      </c>
      <c r="D20" s="13" t="inlineStr">
        <is>
          <t>NSW</t>
        </is>
      </c>
      <c r="E20" s="13" t="n"/>
      <c r="F20" s="14" t="n">
        <v>46126</v>
      </c>
      <c r="G20" s="14" t="n">
        <v>46121</v>
      </c>
      <c r="H20" s="13" t="inlineStr">
        <is>
          <t>Prosple</t>
        </is>
      </c>
      <c r="I20" s="13" t="n"/>
      <c r="J20" s="13" t="n"/>
      <c r="K20" s="13" t="n"/>
      <c r="L20" s="13" t="n"/>
      <c r="M20" s="13" t="inlineStr">
        <is>
          <t>Rejected</t>
        </is>
      </c>
      <c r="N20" s="13" t="n"/>
      <c r="O20" s="13" t="n"/>
      <c r="P20" s="13" t="n"/>
      <c r="Q20" s="17" t="n"/>
      <c r="R20" s="18">
        <f>IF(AND(P20&lt;&gt;"",Q20&lt;&gt;""),Q20-P20,"")</f>
        <v/>
      </c>
      <c r="S20" s="13" t="n"/>
      <c r="T20" s="13" t="n"/>
      <c r="U20" s="20" t="n"/>
      <c r="V20" s="13" t="n"/>
      <c r="W20" s="13" t="n"/>
      <c r="X20" s="13" t="n"/>
      <c r="Y20" s="13" t="n"/>
      <c r="Z20" s="13" t="n"/>
      <c r="AA20" s="13" t="inlineStr">
        <is>
          <t>NDIS Quality and Safeguards Commission Data Analyst Intern</t>
        </is>
      </c>
      <c r="AB20" s="13" t="inlineStr">
        <is>
          <t>Vendor Performance &amp; Procurement Analytics Dashboard, Insurance Risk &amp; Claims Analytics Dashboard, Credit Fraud Detection Classifier Analysis, Customer Churn Forecasting Analysis in Telecom Services</t>
        </is>
      </c>
      <c r="AC20" s="13" t="n"/>
    </row>
    <row r="21" ht="18" customHeight="1" s="31">
      <c r="A21" s="13" t="inlineStr">
        <is>
          <t>mastercard</t>
        </is>
      </c>
      <c r="B21" s="13" t="inlineStr">
        <is>
          <t>performance consultant</t>
        </is>
      </c>
      <c r="C21" s="13" t="inlineStr">
        <is>
          <t>Graduate Program</t>
        </is>
      </c>
      <c r="D21" s="13" t="inlineStr">
        <is>
          <t>NSW</t>
        </is>
      </c>
      <c r="E21" s="13" t="n"/>
      <c r="F21" s="14" t="n">
        <v>46142</v>
      </c>
      <c r="G21" s="14" t="n">
        <v>46142</v>
      </c>
      <c r="H21" s="13" t="inlineStr">
        <is>
          <t>Prosple</t>
        </is>
      </c>
      <c r="I21" s="13" t="n"/>
      <c r="J21" s="13" t="n"/>
      <c r="K21" s="13" t="n"/>
      <c r="L21" s="13" t="n"/>
      <c r="M21" s="13" t="inlineStr">
        <is>
          <t>Rejected</t>
        </is>
      </c>
      <c r="N21" s="13" t="n"/>
      <c r="O21" s="13" t="n"/>
      <c r="P21" s="13" t="n"/>
      <c r="Q21" s="17" t="n"/>
      <c r="R21" s="18">
        <f>IF(AND(P21&lt;&gt;"",Q21&lt;&gt;""),Q21-P21,"")</f>
        <v/>
      </c>
      <c r="S21" s="13" t="n"/>
      <c r="T21" s="13" t="n"/>
      <c r="U21" s="20" t="n"/>
      <c r="V21" s="13" t="n"/>
      <c r="W21" s="13" t="n"/>
      <c r="X21" s="13" t="n"/>
      <c r="Y21" s="13" t="n"/>
      <c r="Z21" s="13" t="n"/>
      <c r="AA21" s="13" t="inlineStr">
        <is>
          <t>NDIS Quality and Safeguards Commission Data Analyst Intern</t>
        </is>
      </c>
      <c r="AB21" s="13" t="inlineStr">
        <is>
          <t>Bank Fraud Transaction Monitoring Dashboard, Sales Performance Analytics Dashboard, Bank Loan Application Tracking Dashboard, Credit Fraud Detection Classifier Analysis</t>
        </is>
      </c>
      <c r="AC21" s="13" t="n"/>
    </row>
    <row r="22" ht="18" customHeight="1" s="31">
      <c r="A22" s="13" t="inlineStr">
        <is>
          <t>Nab</t>
        </is>
      </c>
      <c r="B22" s="13" t="inlineStr">
        <is>
          <t>Digital, Data &amp; AI Data &amp; Analytics</t>
        </is>
      </c>
      <c r="C22" s="13" t="inlineStr">
        <is>
          <t>Graduate Program</t>
        </is>
      </c>
      <c r="D22" s="13" t="inlineStr">
        <is>
          <t>VIC, NSW</t>
        </is>
      </c>
      <c r="E22" s="13" t="n"/>
      <c r="F22" s="14" t="n">
        <v>46110</v>
      </c>
      <c r="G22" s="14" t="n">
        <v>46108</v>
      </c>
      <c r="H22" s="13" t="inlineStr">
        <is>
          <t>Prosple</t>
        </is>
      </c>
      <c r="I22" s="13" t="n"/>
      <c r="J22" s="13" t="n"/>
      <c r="K22" s="13" t="n"/>
      <c r="L22" s="13" t="n"/>
      <c r="M22" s="13" t="inlineStr">
        <is>
          <t>Rejected</t>
        </is>
      </c>
      <c r="N22" s="13" t="n"/>
      <c r="O22" s="13" t="n"/>
      <c r="P22" s="14" t="n">
        <v>46433</v>
      </c>
      <c r="Q22" s="17" t="n"/>
      <c r="R22" s="18">
        <f>IF(AND(P22&lt;&gt;"",Q22&lt;&gt;""),Q22-P22,"")</f>
        <v/>
      </c>
      <c r="S22" s="13" t="n"/>
      <c r="T22" s="13" t="inlineStr">
        <is>
          <t>80k- 90k</t>
        </is>
      </c>
      <c r="U22" s="20" t="inlineStr">
        <is>
          <t>1-5</t>
        </is>
      </c>
      <c r="V22" s="13" t="n"/>
      <c r="W22" s="13" t="n"/>
      <c r="X22" s="13" t="n"/>
      <c r="Y22" s="13" t="n"/>
      <c r="Z22" s="13" t="n"/>
      <c r="AA22" s="13" t="inlineStr">
        <is>
          <t>NDIS Quality and Safeguards Commission Data Analyst Intern</t>
        </is>
      </c>
      <c r="AB22" s="13" t="inlineStr">
        <is>
          <t>Insurance Risk &amp; Claims Analytics Dashboard, Bank Loan Application Tracking Dashboard, Credit Fraud Detection Classifier Analysis, Customer Segmentation in Bank Campaigns Presentation</t>
        </is>
      </c>
      <c r="AC22" s="13" t="n"/>
    </row>
    <row r="23" ht="18" customHeight="1" s="31">
      <c r="A23" s="13" t="inlineStr">
        <is>
          <t>nbn</t>
        </is>
      </c>
      <c r="B23" s="13" t="inlineStr">
        <is>
          <t>strategy</t>
        </is>
      </c>
      <c r="C23" s="13" t="inlineStr">
        <is>
          <t>Graduate Program</t>
        </is>
      </c>
      <c r="D23" s="13" t="inlineStr">
        <is>
          <t>NSW</t>
        </is>
      </c>
      <c r="E23" s="13" t="n"/>
      <c r="F23" s="14" t="n">
        <v>46124</v>
      </c>
      <c r="G23" s="14" t="n">
        <v>46111</v>
      </c>
      <c r="H23" s="13" t="inlineStr">
        <is>
          <t>Prosple</t>
        </is>
      </c>
      <c r="I23" s="13" t="n"/>
      <c r="J23" s="13" t="n"/>
      <c r="K23" s="13" t="n"/>
      <c r="L23" s="13" t="n"/>
      <c r="M23" s="13" t="inlineStr">
        <is>
          <t>Rejected</t>
        </is>
      </c>
      <c r="N23" s="13" t="n"/>
      <c r="O23" s="13" t="n"/>
      <c r="P23" s="13" t="n"/>
      <c r="Q23" s="17" t="n"/>
      <c r="R23" s="18">
        <f>IF(AND(P23&lt;&gt;"",Q23&lt;&gt;""),Q23-P23,"")</f>
        <v/>
      </c>
      <c r="S23" s="13" t="n"/>
      <c r="T23" s="13" t="n"/>
      <c r="U23" s="20" t="n"/>
      <c r="V23" s="13" t="n"/>
      <c r="W23" s="13" t="n"/>
      <c r="X23" s="13" t="n"/>
      <c r="Y23" s="13" t="n"/>
      <c r="Z23" s="13" t="n"/>
      <c r="AA23" s="13" t="inlineStr">
        <is>
          <t>NDIS Quality and Safeguards Commission Data Analyst Intern</t>
        </is>
      </c>
      <c r="AB23" s="13" t="inlineStr">
        <is>
          <t>Vendor Performance &amp; Procurement Analytics Dashboard, Insurance Risk &amp; Claims Analytics Dashboard, Credit Fraud Detection Classifier Analysis, Customer Churn Forecasting</t>
        </is>
      </c>
      <c r="AC23" s="13" t="n"/>
    </row>
    <row r="24" ht="18" customHeight="1" s="31">
      <c r="A24" s="13" t="inlineStr">
        <is>
          <t>Optus</t>
        </is>
      </c>
      <c r="B24" s="13" t="inlineStr">
        <is>
          <t>Data Analytics or digital performance Analytics</t>
        </is>
      </c>
      <c r="C24" s="13" t="inlineStr">
        <is>
          <t>Graduate Program</t>
        </is>
      </c>
      <c r="D24" s="21" t="inlineStr">
        <is>
          <t>NSW</t>
        </is>
      </c>
      <c r="E24" s="13" t="n"/>
      <c r="F24" s="14" t="n">
        <v>46110</v>
      </c>
      <c r="G24" s="14" t="n">
        <v>46109</v>
      </c>
      <c r="H24" s="22" t="inlineStr">
        <is>
          <t>Prosple</t>
        </is>
      </c>
      <c r="I24" s="13" t="n"/>
      <c r="J24" s="13" t="n"/>
      <c r="K24" s="13" t="n"/>
      <c r="L24" s="13" t="n"/>
      <c r="M24" s="13" t="inlineStr">
        <is>
          <t>Rejected</t>
        </is>
      </c>
      <c r="N24" s="13" t="n"/>
      <c r="O24" s="13" t="n"/>
      <c r="P24" s="13" t="n"/>
      <c r="Q24" s="17" t="n"/>
      <c r="R24" s="18">
        <f>IF(AND(P24&lt;&gt;"",Q24&lt;&gt;""),Q24-P24,"")</f>
        <v/>
      </c>
      <c r="S24" s="13" t="n"/>
      <c r="T24" s="13" t="n"/>
      <c r="U24" s="20" t="n"/>
      <c r="V24" s="13" t="n"/>
      <c r="W24" s="13" t="n"/>
      <c r="X24" s="13" t="n"/>
      <c r="Y24" s="13" t="n"/>
      <c r="Z24" s="13" t="n"/>
      <c r="AA24" s="13" t="inlineStr">
        <is>
          <t>NDIS Quality and Safeguards Commission Data Analyst Intern</t>
        </is>
      </c>
      <c r="AB24" s="13" t="inlineStr">
        <is>
          <t>Vendor Performance &amp; Procurement Analytics Dashboard, Meta Ad Performance &amp; Revenue Analytics Dashboard, Customer Churn Forecasting Analysis in Telecom Services, Customer Segmentation in Marketing Bank Campaigns Presentation</t>
        </is>
      </c>
      <c r="AC24" s="13" t="n"/>
    </row>
    <row r="25" ht="18" customHeight="1" s="31">
      <c r="A25" s="13" t="inlineStr">
        <is>
          <t>Pwc</t>
        </is>
      </c>
      <c r="B25" s="13" t="inlineStr">
        <is>
          <t>Data Analytics &amp; AI</t>
        </is>
      </c>
      <c r="C25" s="13" t="inlineStr">
        <is>
          <t>Graduate Program</t>
        </is>
      </c>
      <c r="D25" s="13" t="inlineStr">
        <is>
          <t>VIC, NSW</t>
        </is>
      </c>
      <c r="E25" s="13" t="n"/>
      <c r="F25" s="14" t="n">
        <v>46095</v>
      </c>
      <c r="G25" s="14" t="n">
        <v>46094</v>
      </c>
      <c r="H25" s="13" t="inlineStr">
        <is>
          <t>Prosple</t>
        </is>
      </c>
      <c r="I25" s="13" t="n"/>
      <c r="J25" s="13" t="n"/>
      <c r="K25" s="13" t="n"/>
      <c r="L25" s="13" t="n"/>
      <c r="M25" s="13" t="inlineStr">
        <is>
          <t>Rejected</t>
        </is>
      </c>
      <c r="N25" s="13" t="n"/>
      <c r="O25" s="13" t="n"/>
      <c r="P25" s="14" t="n">
        <v>46433</v>
      </c>
      <c r="Q25" s="17" t="n"/>
      <c r="R25" s="18">
        <f>IF(AND(P25&lt;&gt;"",Q25&lt;&gt;""),Q25-P25,"")</f>
        <v/>
      </c>
      <c r="S25" s="13" t="n"/>
      <c r="T25" s="13" t="inlineStr">
        <is>
          <t>65k-80k</t>
        </is>
      </c>
      <c r="U25" s="20" t="inlineStr">
        <is>
          <t>1-50</t>
        </is>
      </c>
      <c r="V25" s="13" t="n"/>
      <c r="W25" s="13" t="n"/>
      <c r="X25" s="13" t="n"/>
      <c r="Y25" s="13" t="n"/>
      <c r="Z25" s="13" t="n"/>
      <c r="AA25" s="13" t="inlineStr">
        <is>
          <t>NDIS Quality and Safeguards Commission Data Analyst Intern</t>
        </is>
      </c>
      <c r="AB25" s="13" t="inlineStr">
        <is>
          <t>Insurance Risk &amp; Claims Analysis Dashboard, Credit Fraud Detection Classifier, Bank Customer Segmentation</t>
        </is>
      </c>
      <c r="AC25" s="13" t="n"/>
    </row>
    <row r="26" ht="18" customHeight="1" s="31">
      <c r="A26" s="13" t="inlineStr">
        <is>
          <t>quantium</t>
        </is>
      </c>
      <c r="B26" s="13" t="inlineStr">
        <is>
          <t>Data &amp; AI Analyst</t>
        </is>
      </c>
      <c r="C26" s="13" t="inlineStr">
        <is>
          <t>Graduate Program</t>
        </is>
      </c>
      <c r="D26" s="13" t="inlineStr">
        <is>
          <t>NSW</t>
        </is>
      </c>
      <c r="E26" s="13" t="n"/>
      <c r="F26" s="14" t="n">
        <v>46145</v>
      </c>
      <c r="G26" s="14" t="n">
        <v>46106</v>
      </c>
      <c r="H26" s="13" t="inlineStr">
        <is>
          <t>Prosple</t>
        </is>
      </c>
      <c r="I26" s="13" t="n"/>
      <c r="J26" s="13" t="n"/>
      <c r="K26" s="13" t="n"/>
      <c r="L26" s="13" t="n"/>
      <c r="M26" s="13" t="inlineStr">
        <is>
          <t>Rejected</t>
        </is>
      </c>
      <c r="N26" s="13" t="n"/>
      <c r="O26" s="13" t="n"/>
      <c r="P26" s="14" t="inlineStr">
        <is>
          <t>1 Feb 2027 - 22 Feb 2027</t>
        </is>
      </c>
      <c r="Q26" s="17" t="n"/>
      <c r="R26" s="18">
        <f>IF(AND(P26&lt;&gt;"",Q26&lt;&gt;""),Q26-P26,"")</f>
        <v/>
      </c>
      <c r="S26" s="13" t="n"/>
      <c r="T26" s="13" t="inlineStr">
        <is>
          <t>80k-90k</t>
        </is>
      </c>
      <c r="U26" s="20" t="inlineStr">
        <is>
          <t>1-30</t>
        </is>
      </c>
      <c r="V26" s="13" t="n"/>
      <c r="W26" s="13" t="n"/>
      <c r="X26" s="13" t="n"/>
      <c r="Y26" s="13" t="n"/>
      <c r="Z26" s="13" t="n"/>
      <c r="AA26" s="13" t="inlineStr">
        <is>
          <t>NDIS Quality and Safeguards Commission Data Analyst Intern</t>
        </is>
      </c>
      <c r="AB26" s="13" t="inlineStr">
        <is>
          <t>Insurance Risk &amp; Claims Analytics Dashboard, Credit Fraud Detection Classifier Analysis, Customer Churn Forecasting Analysis in Telecom Service</t>
        </is>
      </c>
      <c r="AC26" s="13" t="n"/>
    </row>
    <row r="27" ht="18" customHeight="1" s="31">
      <c r="A27" s="13" t="inlineStr">
        <is>
          <t>reserve bank of australia</t>
        </is>
      </c>
      <c r="B27" s="13" t="inlineStr">
        <is>
          <t>IT business analysis</t>
        </is>
      </c>
      <c r="C27" s="13" t="inlineStr">
        <is>
          <t>Graduate Program</t>
        </is>
      </c>
      <c r="D27" s="13" t="inlineStr">
        <is>
          <t>NSW</t>
        </is>
      </c>
      <c r="E27" s="13" t="n"/>
      <c r="F27" s="14" t="n">
        <v>46118</v>
      </c>
      <c r="G27" s="14" t="n">
        <v>46111</v>
      </c>
      <c r="H27" s="13" t="inlineStr">
        <is>
          <t>Prosple</t>
        </is>
      </c>
      <c r="I27" s="13" t="n"/>
      <c r="J27" s="13" t="n"/>
      <c r="K27" s="13" t="n"/>
      <c r="L27" s="13" t="n"/>
      <c r="M27" s="13" t="inlineStr">
        <is>
          <t>Rejected</t>
        </is>
      </c>
      <c r="N27" s="13" t="n"/>
      <c r="O27" s="13" t="n"/>
      <c r="P27" s="14" t="n">
        <v>46419</v>
      </c>
      <c r="Q27" s="17" t="n"/>
      <c r="R27" s="18">
        <f>IF(AND(P27&lt;&gt;"",Q27&lt;&gt;""),Q27-P27,"")</f>
        <v/>
      </c>
      <c r="S27" s="13" t="n"/>
      <c r="T27" s="13" t="n"/>
      <c r="U27" s="20" t="n"/>
      <c r="V27" s="13" t="n"/>
      <c r="W27" s="13" t="n"/>
      <c r="X27" s="13" t="n"/>
      <c r="Y27" s="13" t="n"/>
      <c r="Z27" s="13" t="n"/>
      <c r="AA27" s="13" t="inlineStr">
        <is>
          <t>NDIS Quality and Safeguards Commission Data Analyst Intern</t>
        </is>
      </c>
      <c r="AB27" s="13" t="inlineStr">
        <is>
          <t>Bank Loan Application Tracking Dashboard, Bank Fraud Transaction Monitoring Dashboard, Credit Fraud Detection Classifier Analysis, Customer Segmentation in Bank Campaigns Presentation</t>
        </is>
      </c>
      <c r="AC27" s="13" t="n"/>
    </row>
    <row r="28" ht="18" customHeight="1" s="31">
      <c r="A28" s="13" t="inlineStr">
        <is>
          <t>SIG</t>
        </is>
      </c>
      <c r="B28" s="13" t="inlineStr">
        <is>
          <t>operations analyst</t>
        </is>
      </c>
      <c r="C28" s="13" t="inlineStr">
        <is>
          <t>Graduate Program</t>
        </is>
      </c>
      <c r="D28" s="13" t="inlineStr">
        <is>
          <t>NSW</t>
        </is>
      </c>
      <c r="E28" s="13" t="n"/>
      <c r="F28" s="14" t="n">
        <v>46121</v>
      </c>
      <c r="G28" s="14" t="n">
        <v>46121</v>
      </c>
      <c r="H28" s="13" t="inlineStr">
        <is>
          <t>Prosple</t>
        </is>
      </c>
      <c r="I28" s="13" t="n"/>
      <c r="J28" s="13" t="n"/>
      <c r="K28" s="13" t="n"/>
      <c r="L28" s="13" t="n"/>
      <c r="M28" s="13" t="inlineStr">
        <is>
          <t>Rejected</t>
        </is>
      </c>
      <c r="N28" s="13" t="n"/>
      <c r="O28" s="13" t="n"/>
      <c r="P28" s="13" t="n"/>
      <c r="Q28" s="17" t="n"/>
      <c r="R28" s="18">
        <f>IF(AND(P28&lt;&gt;"",Q28&lt;&gt;""),Q28-P28,"")</f>
        <v/>
      </c>
      <c r="S28" s="13" t="n"/>
      <c r="T28" s="13" t="n"/>
      <c r="U28" s="20" t="n"/>
      <c r="V28" s="13" t="n"/>
      <c r="W28" s="13" t="n"/>
      <c r="X28" s="13" t="n"/>
      <c r="Y28" s="13" t="n"/>
      <c r="Z28" s="13" t="n"/>
      <c r="AA28" s="13" t="inlineStr">
        <is>
          <t>NDIS Quality and Safeguards Commission Data Analyst Intern</t>
        </is>
      </c>
      <c r="AB28" s="13" t="inlineStr">
        <is>
          <t>Bank Loan Application Tracking Dashboard, Credit Fraud Detection Classifier Analysis, Bitcoin’s Impact on a Portfolio Analysis Report, Stock Prices Forecasting</t>
        </is>
      </c>
      <c r="AC28" s="13" t="n"/>
    </row>
    <row r="29" ht="18" customHeight="1" s="31">
      <c r="A29" s="13" t="inlineStr">
        <is>
          <t>telstra</t>
        </is>
      </c>
      <c r="B29" s="13" t="inlineStr">
        <is>
          <t>strategy data analytics &amp; management</t>
        </is>
      </c>
      <c r="C29" s="13" t="inlineStr">
        <is>
          <t>Graduate Program</t>
        </is>
      </c>
      <c r="D29" s="13" t="inlineStr">
        <is>
          <t>NSW</t>
        </is>
      </c>
      <c r="E29" s="13" t="n"/>
      <c r="F29" s="14" t="n">
        <v>46112</v>
      </c>
      <c r="G29" s="14" t="n">
        <v>46108</v>
      </c>
      <c r="H29" s="13" t="inlineStr">
        <is>
          <t>Prosple</t>
        </is>
      </c>
      <c r="I29" s="13" t="n"/>
      <c r="J29" s="13" t="n"/>
      <c r="K29" s="13" t="n"/>
      <c r="L29" s="13" t="n"/>
      <c r="M29" s="13" t="inlineStr">
        <is>
          <t>Rejected</t>
        </is>
      </c>
      <c r="N29" s="13" t="n"/>
      <c r="O29" s="13" t="n"/>
      <c r="P29" s="13" t="n"/>
      <c r="Q29" s="17" t="n"/>
      <c r="R29" s="18">
        <f>IF(AND(P29&lt;&gt;"",Q29&lt;&gt;""),Q29-P29,"")</f>
        <v/>
      </c>
      <c r="S29" s="13" t="n"/>
      <c r="T29" s="13" t="n"/>
      <c r="U29" s="20" t="n"/>
      <c r="V29" s="13" t="n"/>
      <c r="W29" s="13" t="n"/>
      <c r="X29" s="13" t="n"/>
      <c r="Y29" s="13" t="n"/>
      <c r="Z29" s="13" t="n"/>
      <c r="AA29" s="13" t="inlineStr">
        <is>
          <t>NDIS Quality and Safeguards Commission Data Analyst Intern</t>
        </is>
      </c>
      <c r="AB29" s="13" t="inlineStr">
        <is>
          <t>Customer Churn Forecasting Analysis in Telecom Services, Insurance Risk &amp; Claims Strategy Dashboard, Customer Segmentation in Bank Marketing Campaign Strategies Presentation, E-commerce Marketing Performance Strategy Dashboard</t>
        </is>
      </c>
      <c r="AC29" s="13" t="n"/>
    </row>
    <row r="30" ht="18" customHeight="1" s="31">
      <c r="A30" s="13" t="inlineStr">
        <is>
          <t>UQ</t>
        </is>
      </c>
      <c r="B30" s="13" t="inlineStr">
        <is>
          <t>Data Analyst</t>
        </is>
      </c>
      <c r="C30" s="13" t="inlineStr">
        <is>
          <t>Full-time</t>
        </is>
      </c>
      <c r="D30" s="13" t="inlineStr">
        <is>
          <t>QLD</t>
        </is>
      </c>
      <c r="E30" s="13" t="n"/>
      <c r="F30" s="14" t="n">
        <v>46129</v>
      </c>
      <c r="G30" s="14" t="n">
        <v>46129</v>
      </c>
      <c r="H30" s="13" t="inlineStr">
        <is>
          <t>Prosple</t>
        </is>
      </c>
      <c r="I30" s="13" t="n"/>
      <c r="J30" s="13" t="n"/>
      <c r="K30" s="13" t="n"/>
      <c r="L30" s="13" t="n"/>
      <c r="M30" s="13" t="inlineStr">
        <is>
          <t>Rejected</t>
        </is>
      </c>
      <c r="N30" s="13" t="n"/>
      <c r="O30" s="13" t="n"/>
      <c r="P30" s="14" t="n">
        <v>46129</v>
      </c>
      <c r="Q30" s="17" t="n"/>
      <c r="R30" s="18">
        <f>IF(AND(P30&lt;&gt;"",Q30&lt;&gt;""),Q30-P30,"")</f>
        <v/>
      </c>
      <c r="S30" s="13" t="n"/>
      <c r="T30" s="13" t="inlineStr">
        <is>
          <t>100k</t>
        </is>
      </c>
      <c r="U30" s="20" t="n">
        <v>1</v>
      </c>
      <c r="V30" s="13" t="n"/>
      <c r="W30" s="13" t="n"/>
      <c r="X30" s="13" t="n"/>
      <c r="Y30" s="13" t="n"/>
      <c r="Z30" s="13" t="n"/>
      <c r="AA30" s="13" t="inlineStr">
        <is>
          <t>NDIS Quality and Safeguards Commission Data Analyst Intern</t>
        </is>
      </c>
      <c r="AB30" s="13" t="inlineStr">
        <is>
          <t>Sales Performance Analytics Dashboard, Bank Loan Application Tracking Analytics Dashboard, E-commerce Performance Analytics on Marketing Strategies Dashboard, Insurance Risk &amp; Claims Analytics Dashboard</t>
        </is>
      </c>
      <c r="AC30" s="13" t="n"/>
    </row>
    <row r="31" ht="18" customHeight="1" s="31">
      <c r="A31" s="13" t="inlineStr">
        <is>
          <t>wsp</t>
        </is>
      </c>
      <c r="B31" s="13" t="inlineStr">
        <is>
          <t>Digital &amp; Data Insights</t>
        </is>
      </c>
      <c r="C31" s="13" t="inlineStr">
        <is>
          <t>Graduate Program</t>
        </is>
      </c>
      <c r="D31" s="13" t="inlineStr">
        <is>
          <t>NSW</t>
        </is>
      </c>
      <c r="E31" s="13" t="n"/>
      <c r="F31" s="14" t="n">
        <v>46142</v>
      </c>
      <c r="G31" s="14" t="n">
        <v>46111</v>
      </c>
      <c r="H31" s="13" t="inlineStr">
        <is>
          <t>Prosple</t>
        </is>
      </c>
      <c r="I31" s="13" t="n"/>
      <c r="J31" s="13" t="n"/>
      <c r="K31" s="13" t="n"/>
      <c r="L31" s="13" t="n"/>
      <c r="M31" s="13" t="inlineStr">
        <is>
          <t>Rejected</t>
        </is>
      </c>
      <c r="N31" s="13" t="n"/>
      <c r="O31" s="13" t="n"/>
      <c r="P31" s="13" t="n"/>
      <c r="Q31" s="17" t="n"/>
      <c r="R31" s="18">
        <f>IF(AND(P31&lt;&gt;"",Q31&lt;&gt;""),Q31-P31,"")</f>
        <v/>
      </c>
      <c r="S31" s="13" t="n"/>
      <c r="T31" s="13" t="n"/>
      <c r="U31" s="20" t="n"/>
      <c r="V31" s="13" t="n"/>
      <c r="W31" s="13" t="n"/>
      <c r="X31" s="13" t="n"/>
      <c r="Y31" s="13" t="n"/>
      <c r="Z31" s="13" t="n"/>
      <c r="AA31" s="13" t="inlineStr">
        <is>
          <t>NDIS Quality and Safeguards Commission Data Analyst Intern</t>
        </is>
      </c>
      <c r="AB31" s="13" t="inlineStr">
        <is>
          <t>Vendor Performance &amp; Procurement Analytics Dashboard, Bank Loan Application Tracking Dashboard, Credit Fraud Detection Classifier Analysis, Customer Segmentation in Bank Campaigns Presentation</t>
        </is>
      </c>
      <c r="AC31" s="13" t="n"/>
    </row>
    <row r="32" ht="18" customHeight="1" s="31">
      <c r="A32" s="13" t="inlineStr">
        <is>
          <t>Allianz</t>
        </is>
      </c>
      <c r="B32" s="13" t="inlineStr">
        <is>
          <t>data analytics</t>
        </is>
      </c>
      <c r="C32" s="13" t="inlineStr">
        <is>
          <t>Graduate Program</t>
        </is>
      </c>
      <c r="D32" s="13" t="inlineStr">
        <is>
          <t>NSW</t>
        </is>
      </c>
      <c r="E32" s="13" t="n"/>
      <c r="F32" s="14" t="n">
        <v>46147</v>
      </c>
      <c r="G32" s="13" t="n"/>
      <c r="H32" s="13" t="inlineStr">
        <is>
          <t>Prosple</t>
        </is>
      </c>
      <c r="I32" s="13" t="n"/>
      <c r="J32" s="13" t="n"/>
      <c r="K32" s="13" t="n"/>
      <c r="L32" s="13" t="n"/>
      <c r="M32" s="13" t="inlineStr">
        <is>
          <t>Withdrawn</t>
        </is>
      </c>
      <c r="N32" s="13" t="n"/>
      <c r="O32" s="13" t="n"/>
      <c r="P32" s="13" t="n"/>
      <c r="Q32" s="17" t="n"/>
      <c r="R32" s="18">
        <f>IF(AND(P34&lt;&gt;"",Q34&lt;&gt;""),Q34-P34,"")</f>
        <v/>
      </c>
      <c r="S32" s="13" t="n"/>
      <c r="T32" s="13" t="n"/>
      <c r="U32" s="20" t="n"/>
      <c r="V32" s="13" t="n"/>
      <c r="W32" s="13" t="n"/>
      <c r="X32" s="13" t="n"/>
      <c r="Y32" s="13" t="n"/>
      <c r="Z32" s="13" t="n"/>
      <c r="AA32" s="13" t="n"/>
      <c r="AB32" s="13" t="n"/>
      <c r="AC32" s="13" t="n"/>
    </row>
    <row r="33" ht="18" customHeight="1" s="31">
      <c r="A33" s="13" t="inlineStr">
        <is>
          <t>FMD</t>
        </is>
      </c>
      <c r="B33" s="13" t="inlineStr">
        <is>
          <t>Project Grace: Data Analyst</t>
        </is>
      </c>
      <c r="C33" s="13" t="inlineStr">
        <is>
          <t>Graduate Program</t>
        </is>
      </c>
      <c r="D33" s="13" t="inlineStr">
        <is>
          <t>VIC, NSW</t>
        </is>
      </c>
      <c r="E33" s="14" t="n"/>
      <c r="F33" s="14" t="n">
        <v>46112</v>
      </c>
      <c r="G33" s="14" t="n">
        <v>46108</v>
      </c>
      <c r="H33" s="13" t="inlineStr">
        <is>
          <t>Prosple</t>
        </is>
      </c>
      <c r="I33" s="13" t="n"/>
      <c r="J33" s="13" t="n"/>
      <c r="K33" s="13" t="n"/>
      <c r="L33" s="13" t="n"/>
      <c r="M33" s="13" t="inlineStr">
        <is>
          <t>Withdrawn</t>
        </is>
      </c>
      <c r="N33" s="13" t="n"/>
      <c r="O33" s="13" t="n"/>
      <c r="P33" s="13" t="n"/>
      <c r="Q33" s="17" t="n"/>
      <c r="R33" s="18">
        <f>IF(AND(P35&lt;&gt;"",Q35&lt;&gt;""),Q35-P35,"")</f>
        <v/>
      </c>
      <c r="S33" s="13" t="n"/>
      <c r="T33" s="13" t="inlineStr">
        <is>
          <t>67k-70k</t>
        </is>
      </c>
      <c r="U33" s="20" t="inlineStr">
        <is>
          <t>10-15</t>
        </is>
      </c>
      <c r="V33" s="13" t="n"/>
      <c r="W33" s="13" t="n"/>
      <c r="X33" s="13" t="n"/>
      <c r="Y33" s="13" t="n"/>
      <c r="Z33" s="13" t="n"/>
      <c r="AA33" s="13" t="inlineStr">
        <is>
          <t>NDIS Quality and Safeguards Commission Data Analyst Intern</t>
        </is>
      </c>
      <c r="AB33" s="13" t="inlineStr">
        <is>
          <t>Vendor Performance &amp; Procurement Analytics Dashboard, Credit Fraud Detection Classifier Analysis, Customer Segmentation in Bank Marketing Campaign Presentation, Customer Churn Forecasting Analysis in Telecom Services</t>
        </is>
      </c>
      <c r="AC33" s="13" t="n"/>
    </row>
    <row r="34" ht="18" customHeight="1" s="31">
      <c r="A34" s="13" t="inlineStr">
        <is>
          <t>Qantas</t>
        </is>
      </c>
      <c r="B34" s="13" t="inlineStr">
        <is>
          <t>data &amp; analytics</t>
        </is>
      </c>
      <c r="C34" s="13" t="inlineStr">
        <is>
          <t>Graduate Program</t>
        </is>
      </c>
      <c r="D34" s="21" t="inlineStr">
        <is>
          <t>NSW</t>
        </is>
      </c>
      <c r="E34" s="13" t="n"/>
      <c r="F34" s="14" t="n">
        <v>46166</v>
      </c>
      <c r="G34" s="14" t="n">
        <v>46166</v>
      </c>
      <c r="H34" s="13" t="inlineStr">
        <is>
          <t>Prosple</t>
        </is>
      </c>
      <c r="I34" s="13" t="n"/>
      <c r="J34" s="13" t="n"/>
      <c r="K34" s="13" t="n"/>
      <c r="L34" s="13" t="n"/>
      <c r="M34" s="13" t="inlineStr">
        <is>
          <t>Withdrawn</t>
        </is>
      </c>
      <c r="N34" s="13" t="n"/>
      <c r="O34" s="13" t="n"/>
      <c r="P34" s="13" t="n"/>
      <c r="Q34" s="17" t="n"/>
      <c r="R34" s="18">
        <f>IF(AND(P36&lt;&gt;"",Q36&lt;&gt;""),Q36-P36,"")</f>
        <v/>
      </c>
      <c r="S34" s="13" t="n"/>
      <c r="T34" s="13" t="n"/>
      <c r="U34" s="20" t="n"/>
      <c r="V34" s="13" t="n"/>
      <c r="W34" s="13" t="n"/>
      <c r="X34" s="13" t="n"/>
      <c r="Y34" s="13" t="n"/>
      <c r="Z34" s="13" t="n"/>
      <c r="AA34" s="13" t="inlineStr">
        <is>
          <t>NDIS Quality and Safeguards Commission Data Analyst Intern</t>
        </is>
      </c>
      <c r="AB34" s="13" t="inlineStr">
        <is>
          <t>Hotel Customer Feedback Analytics Dashboard, Shopify Sales &amp; Customer Funnel Analytics Dashboard, Customer Churn Forecasting Analysis in Telecom Services, Customer Segmentation in Marketing Bank Campaigns Presentation</t>
        </is>
      </c>
      <c r="AC34" s="13" t="n"/>
    </row>
    <row r="35" ht="18" customHeight="1" s="31">
      <c r="A35" s="13" t="inlineStr">
        <is>
          <t>RSM</t>
        </is>
      </c>
      <c r="B35" s="13" t="inlineStr">
        <is>
          <t>Data Analytics</t>
        </is>
      </c>
      <c r="C35" s="13" t="inlineStr">
        <is>
          <t>Graduate Program</t>
        </is>
      </c>
      <c r="D35" s="13" t="inlineStr">
        <is>
          <t>VIC</t>
        </is>
      </c>
      <c r="E35" s="13" t="n"/>
      <c r="F35" s="14" t="n">
        <v>46103</v>
      </c>
      <c r="G35" s="14" t="n">
        <v>46102</v>
      </c>
      <c r="H35" s="13" t="inlineStr">
        <is>
          <t>Prosple</t>
        </is>
      </c>
      <c r="I35" s="13" t="n"/>
      <c r="J35" s="13" t="n"/>
      <c r="K35" s="13" t="n"/>
      <c r="L35" s="13" t="n"/>
      <c r="M35" s="13" t="inlineStr">
        <is>
          <t>Withdrawn</t>
        </is>
      </c>
      <c r="N35" s="13" t="n"/>
      <c r="O35" s="13" t="n"/>
      <c r="P35" s="14" t="n">
        <v>46419</v>
      </c>
      <c r="Q35" s="17" t="n"/>
      <c r="R35" s="18">
        <f>IF(AND(P37&lt;&gt;"",Q37&lt;&gt;""),Q37-P37,"")</f>
        <v/>
      </c>
      <c r="S35" s="13" t="n"/>
      <c r="T35" s="13" t="inlineStr">
        <is>
          <t>67-70k</t>
        </is>
      </c>
      <c r="U35" s="20" t="inlineStr">
        <is>
          <t>1-3</t>
        </is>
      </c>
      <c r="V35" s="13" t="n"/>
      <c r="W35" s="13" t="n"/>
      <c r="X35" s="13" t="n"/>
      <c r="Y35" s="13" t="n"/>
      <c r="Z35" s="13" t="n"/>
      <c r="AA35" s="13" t="inlineStr">
        <is>
          <t>NDIS Quality and Safeguards Commission Data Analyst Intern</t>
        </is>
      </c>
      <c r="AB35" s="13" t="inlineStr">
        <is>
          <t>Insurance Risk &amp; Claims Analysis Dashboard, Bank Loan Application Tracking Dashboard, Credit Fraud Detection Classifier</t>
        </is>
      </c>
      <c r="AC35" s="13" t="n"/>
    </row>
    <row r="36" ht="18" customHeight="1" s="31">
      <c r="A36" s="13" t="inlineStr">
        <is>
          <t>amazon</t>
        </is>
      </c>
      <c r="B36" s="13" t="inlineStr">
        <is>
          <t>Graduate Brand Analyst,</t>
        </is>
      </c>
      <c r="C36" s="13" t="inlineStr">
        <is>
          <t>Graduate Program</t>
        </is>
      </c>
      <c r="D36" s="13" t="inlineStr">
        <is>
          <t>NSW</t>
        </is>
      </c>
      <c r="E36" s="13" t="n"/>
      <c r="F36" s="14" t="n">
        <v>46147</v>
      </c>
      <c r="G36" s="13" t="n"/>
      <c r="H36" s="13" t="inlineStr">
        <is>
          <t>Prosple</t>
        </is>
      </c>
      <c r="I36" s="13" t="n"/>
      <c r="J36" s="13" t="n"/>
      <c r="K36" s="13" t="n"/>
      <c r="L36" s="13" t="n"/>
      <c r="M36" s="13" t="n"/>
      <c r="N36" s="13" t="n"/>
      <c r="O36" s="13" t="n"/>
      <c r="P36" s="14" t="n">
        <v>46204</v>
      </c>
      <c r="Q36" s="17" t="n"/>
      <c r="R36" s="18">
        <f>IF(AND(P38&lt;&gt;"",Q38&lt;&gt;""),Q38-P38,"")</f>
        <v/>
      </c>
      <c r="S36" s="13" t="n"/>
      <c r="T36" s="13" t="n"/>
      <c r="U36" s="20" t="n"/>
      <c r="V36" s="13" t="n"/>
      <c r="W36" s="13" t="n"/>
      <c r="X36" s="13" t="n"/>
      <c r="Y36" s="13" t="n"/>
      <c r="Z36" s="13" t="n"/>
      <c r="AA36" s="13" t="n"/>
      <c r="AB36" s="13" t="n"/>
      <c r="AC36" s="13" t="n"/>
    </row>
    <row r="37" ht="18" customHeight="1" s="31">
      <c r="A37" s="13" t="inlineStr">
        <is>
          <t>anz</t>
        </is>
      </c>
      <c r="B37" s="13" t="n"/>
      <c r="C37" s="13" t="inlineStr">
        <is>
          <t>Graduate Program</t>
        </is>
      </c>
      <c r="D37" s="13" t="inlineStr">
        <is>
          <t>NSW</t>
        </is>
      </c>
      <c r="E37" s="13" t="n"/>
      <c r="F37" s="13" t="n"/>
      <c r="G37" s="13" t="n"/>
      <c r="H37" s="13" t="inlineStr">
        <is>
          <t>Prosple</t>
        </is>
      </c>
      <c r="I37" s="13" t="n"/>
      <c r="J37" s="13" t="n"/>
      <c r="K37" s="13" t="n"/>
      <c r="L37" s="13" t="n"/>
      <c r="M37" s="13" t="n"/>
      <c r="N37" s="13" t="n"/>
      <c r="O37" s="13" t="n"/>
      <c r="P37" s="13" t="n"/>
      <c r="Q37" s="17" t="n"/>
      <c r="R37" s="18">
        <f>IF(AND(P39&lt;&gt;"",Q39&lt;&gt;""),Q39-P39,"")</f>
        <v/>
      </c>
      <c r="S37" s="13" t="n"/>
      <c r="T37" s="13" t="n"/>
      <c r="U37" s="20" t="n"/>
      <c r="V37" s="13" t="n"/>
      <c r="W37" s="13" t="n"/>
      <c r="X37" s="13" t="n"/>
      <c r="Y37" s="13" t="n"/>
      <c r="Z37" s="13" t="n"/>
      <c r="AA37" s="13" t="n"/>
      <c r="AB37" s="13" t="n"/>
      <c r="AC37" s="13" t="n"/>
    </row>
    <row r="38" ht="18" customHeight="1" s="31">
      <c r="A38" s="13" t="inlineStr">
        <is>
          <t>bcg</t>
        </is>
      </c>
      <c r="B38" s="13" t="inlineStr">
        <is>
          <t>consulting</t>
        </is>
      </c>
      <c r="C38" s="13" t="inlineStr">
        <is>
          <t>Graduate Program</t>
        </is>
      </c>
      <c r="D38" s="13" t="inlineStr">
        <is>
          <t>NSW</t>
        </is>
      </c>
      <c r="E38" s="13" t="n"/>
      <c r="F38" s="14" t="n">
        <v>46085</v>
      </c>
      <c r="G38" s="13" t="n"/>
      <c r="H38" s="13" t="inlineStr">
        <is>
          <t>Prosple</t>
        </is>
      </c>
      <c r="I38" s="13" t="n"/>
      <c r="J38" s="13" t="n"/>
      <c r="K38" s="13" t="n"/>
      <c r="L38" s="13" t="n"/>
      <c r="M38" s="13" t="n"/>
      <c r="N38" s="13" t="n"/>
      <c r="O38" s="13" t="n"/>
      <c r="P38" s="13" t="n"/>
      <c r="Q38" s="17" t="n"/>
      <c r="R38" s="18">
        <f>IF(AND(P40&lt;&gt;"",Q40&lt;&gt;""),Q40-P40,"")</f>
        <v/>
      </c>
      <c r="S38" s="13" t="n"/>
      <c r="T38" s="13" t="n"/>
      <c r="U38" s="20" t="n"/>
      <c r="V38" s="13" t="n"/>
      <c r="W38" s="13" t="n"/>
      <c r="X38" s="13" t="n"/>
      <c r="Y38" s="13" t="n"/>
      <c r="Z38" s="13" t="n"/>
      <c r="AA38" s="13" t="n"/>
      <c r="AB38" s="13" t="n"/>
      <c r="AC38" s="13" t="n"/>
    </row>
    <row r="39" ht="18" customHeight="1" s="31">
      <c r="A39" s="13" t="inlineStr">
        <is>
          <t>bloomberg</t>
        </is>
      </c>
      <c r="B39" s="13" t="inlineStr">
        <is>
          <t>analytics &amp; sales</t>
        </is>
      </c>
      <c r="C39" s="13" t="inlineStr">
        <is>
          <t>Graduate Program</t>
        </is>
      </c>
      <c r="D39" s="13" t="inlineStr">
        <is>
          <t>NSW</t>
        </is>
      </c>
      <c r="E39" s="13" t="n"/>
      <c r="F39" s="14" t="n">
        <v>46266</v>
      </c>
      <c r="G39" s="13" t="n"/>
      <c r="H39" s="13" t="inlineStr">
        <is>
          <t>Prosple</t>
        </is>
      </c>
      <c r="I39" s="13" t="n"/>
      <c r="J39" s="13" t="n"/>
      <c r="K39" s="13" t="n"/>
      <c r="L39" s="13" t="n"/>
      <c r="M39" s="13" t="n"/>
      <c r="N39" s="13" t="n"/>
      <c r="O39" s="13" t="n"/>
      <c r="P39" s="14" t="inlineStr">
        <is>
          <t>1 Jan 2027-1 Sep 2027</t>
        </is>
      </c>
      <c r="Q39" s="17" t="n"/>
      <c r="R39" s="18">
        <f>IF(AND(P41&lt;&gt;"",Q41&lt;&gt;""),Q41-P41,"")</f>
        <v/>
      </c>
      <c r="S39" s="13" t="n"/>
      <c r="T39" s="13" t="inlineStr">
        <is>
          <t>75k-80k</t>
        </is>
      </c>
      <c r="U39" s="20" t="inlineStr">
        <is>
          <t>1-5</t>
        </is>
      </c>
      <c r="V39" s="13" t="n"/>
      <c r="W39" s="13" t="n"/>
      <c r="X39" s="13" t="n"/>
      <c r="Y39" s="13" t="n"/>
      <c r="Z39" s="13" t="n"/>
      <c r="AA39" s="13" t="n"/>
      <c r="AB39" s="13" t="n"/>
      <c r="AC39" s="13" t="n"/>
    </row>
    <row r="40" ht="18" customHeight="1" s="31">
      <c r="A40" s="13" t="inlineStr">
        <is>
          <t>bmw</t>
        </is>
      </c>
      <c r="B40" s="13" t="inlineStr">
        <is>
          <t>product</t>
        </is>
      </c>
      <c r="C40" s="13" t="inlineStr">
        <is>
          <t>Graduate Program</t>
        </is>
      </c>
      <c r="D40" s="13" t="inlineStr">
        <is>
          <t>NSW</t>
        </is>
      </c>
      <c r="E40" s="13" t="n"/>
      <c r="F40" s="14" t="n">
        <v>46117</v>
      </c>
      <c r="G40" s="13" t="n"/>
      <c r="H40" s="13" t="inlineStr">
        <is>
          <t>Prosple</t>
        </is>
      </c>
      <c r="I40" s="13" t="n"/>
      <c r="J40" s="13" t="n"/>
      <c r="K40" s="13" t="n"/>
      <c r="L40" s="13" t="n"/>
      <c r="M40" s="13" t="n"/>
      <c r="N40" s="13" t="n"/>
      <c r="O40" s="13" t="n"/>
      <c r="P40" s="13" t="n"/>
      <c r="Q40" s="17" t="n"/>
      <c r="R40" s="18">
        <f>IF(AND(P42&lt;&gt;"",Q42&lt;&gt;""),Q42-P42,"")</f>
        <v/>
      </c>
      <c r="S40" s="13" t="n"/>
      <c r="T40" s="13" t="n"/>
      <c r="U40" s="20" t="n"/>
      <c r="V40" s="13" t="n"/>
      <c r="W40" s="13" t="n"/>
      <c r="X40" s="13" t="n"/>
      <c r="Y40" s="13" t="n"/>
      <c r="Z40" s="13" t="n"/>
      <c r="AA40" s="13" t="n"/>
      <c r="AB40" s="13" t="n"/>
      <c r="AC40" s="13" t="n"/>
    </row>
    <row r="41" ht="18" customHeight="1" s="31">
      <c r="A41" s="13" t="inlineStr">
        <is>
          <t>cisco</t>
        </is>
      </c>
      <c r="B41" s="13" t="inlineStr">
        <is>
          <t>business analyst</t>
        </is>
      </c>
      <c r="C41" s="13" t="inlineStr">
        <is>
          <t>Internship</t>
        </is>
      </c>
      <c r="D41" s="13" t="inlineStr">
        <is>
          <t>NSW</t>
        </is>
      </c>
      <c r="E41" s="13" t="n"/>
      <c r="F41" s="13" t="n"/>
      <c r="G41" s="13" t="n"/>
      <c r="H41" s="13" t="inlineStr">
        <is>
          <t>Prosple</t>
        </is>
      </c>
      <c r="I41" s="13" t="n"/>
      <c r="J41" s="13" t="n"/>
      <c r="K41" s="13" t="n"/>
      <c r="L41" s="13" t="n"/>
      <c r="M41" s="13" t="n"/>
      <c r="N41" s="13" t="n"/>
      <c r="O41" s="13" t="n"/>
      <c r="P41" s="13" t="n"/>
      <c r="Q41" s="17" t="n"/>
      <c r="R41" s="18">
        <f>IF(AND(P43&lt;&gt;"",Q43&lt;&gt;""),Q43-P43,"")</f>
        <v/>
      </c>
      <c r="S41" s="13" t="n"/>
      <c r="T41" s="13" t="n"/>
      <c r="U41" s="20" t="n"/>
      <c r="V41" s="13" t="n"/>
      <c r="W41" s="13" t="n"/>
      <c r="X41" s="13" t="n"/>
      <c r="Y41" s="13" t="n"/>
      <c r="Z41" s="13" t="n"/>
      <c r="AA41" s="13" t="n"/>
      <c r="AB41" s="13" t="n"/>
      <c r="AC41" s="13" t="n"/>
    </row>
    <row r="42" ht="18" customHeight="1" s="31">
      <c r="A42" s="13" t="inlineStr">
        <is>
          <t>city of gold coast</t>
        </is>
      </c>
      <c r="B42" s="13" t="inlineStr">
        <is>
          <t>digital and data</t>
        </is>
      </c>
      <c r="C42" s="13" t="inlineStr">
        <is>
          <t>Graduate Program</t>
        </is>
      </c>
      <c r="D42" s="13" t="inlineStr">
        <is>
          <t>QLD</t>
        </is>
      </c>
      <c r="E42" s="13" t="n"/>
      <c r="F42" s="13" t="n"/>
      <c r="G42" s="13" t="n"/>
      <c r="H42" s="13" t="inlineStr">
        <is>
          <t>Prosple</t>
        </is>
      </c>
      <c r="I42" s="13" t="n"/>
      <c r="J42" s="13" t="n"/>
      <c r="K42" s="13" t="n"/>
      <c r="L42" s="13" t="n"/>
      <c r="M42" s="13" t="inlineStr">
        <is>
          <t>Withdrawn</t>
        </is>
      </c>
      <c r="N42" s="13" t="n"/>
      <c r="O42" s="13" t="n"/>
      <c r="P42" s="13" t="n"/>
      <c r="Q42" s="17" t="n"/>
      <c r="R42" s="18">
        <f>IF(AND(P44&lt;&gt;"",Q44&lt;&gt;""),Q44-P44,"")</f>
        <v/>
      </c>
      <c r="S42" s="13" t="n"/>
      <c r="T42" s="13" t="n"/>
      <c r="U42" s="20" t="n"/>
      <c r="V42" s="13" t="n"/>
      <c r="W42" s="13" t="n"/>
      <c r="X42" s="13" t="n"/>
      <c r="Y42" s="13" t="n"/>
      <c r="Z42" s="13" t="n"/>
      <c r="AA42" s="13" t="n"/>
      <c r="AB42" s="13" t="n"/>
      <c r="AC42" s="13" t="n"/>
    </row>
    <row r="43" ht="18" customHeight="1" s="31">
      <c r="A43" s="13" t="inlineStr">
        <is>
          <t>commbank</t>
        </is>
      </c>
      <c r="B43" s="13" t="inlineStr">
        <is>
          <t>tech ai engineering data science &amp; ai</t>
        </is>
      </c>
      <c r="C43" s="13" t="inlineStr">
        <is>
          <t>Internship</t>
        </is>
      </c>
      <c r="D43" s="13" t="inlineStr">
        <is>
          <t>VIC</t>
        </is>
      </c>
      <c r="E43" s="13" t="n"/>
      <c r="F43" s="13" t="n"/>
      <c r="G43" s="13" t="n"/>
      <c r="H43" s="13" t="inlineStr">
        <is>
          <t>Prosple</t>
        </is>
      </c>
      <c r="I43" s="13" t="n"/>
      <c r="J43" s="13" t="n"/>
      <c r="K43" s="13" t="n"/>
      <c r="L43" s="13" t="n"/>
      <c r="M43" s="13" t="inlineStr">
        <is>
          <t>Withdrawn</t>
        </is>
      </c>
      <c r="N43" s="13" t="n"/>
      <c r="O43" s="13" t="n"/>
      <c r="P43" s="14" t="n">
        <v>46349</v>
      </c>
      <c r="Q43" s="17" t="n"/>
      <c r="R43" s="18">
        <f>IF(AND(P45&lt;&gt;"",Q45&lt;&gt;""),Q45-P45,"")</f>
        <v/>
      </c>
      <c r="S43" s="13" t="n"/>
      <c r="T43" s="13" t="inlineStr">
        <is>
          <t>65k</t>
        </is>
      </c>
      <c r="U43" s="20" t="n"/>
      <c r="V43" s="13" t="n"/>
      <c r="W43" s="13" t="n"/>
      <c r="X43" s="13" t="n"/>
      <c r="Y43" s="13" t="n"/>
      <c r="Z43" s="13" t="n"/>
      <c r="AA43" s="13" t="n"/>
      <c r="AB43" s="13" t="n"/>
      <c r="AC43" s="13" t="n"/>
    </row>
    <row r="44" ht="18" customHeight="1" s="31">
      <c r="A44" s="13" t="inlineStr">
        <is>
          <t>eightcap</t>
        </is>
      </c>
      <c r="B44" s="13" t="inlineStr">
        <is>
          <t>operations analyst</t>
        </is>
      </c>
      <c r="C44" s="13" t="inlineStr">
        <is>
          <t>Graduate Program</t>
        </is>
      </c>
      <c r="D44" s="13" t="inlineStr">
        <is>
          <t>NSW</t>
        </is>
      </c>
      <c r="E44" s="13" t="n"/>
      <c r="F44" s="13" t="n"/>
      <c r="G44" s="13" t="n"/>
      <c r="H44" s="13" t="inlineStr">
        <is>
          <t>Prosple</t>
        </is>
      </c>
      <c r="I44" s="13" t="n"/>
      <c r="J44" s="13" t="n"/>
      <c r="K44" s="13" t="n"/>
      <c r="L44" s="13" t="n"/>
      <c r="M44" s="13" t="inlineStr">
        <is>
          <t>Withdrawn</t>
        </is>
      </c>
      <c r="N44" s="13" t="n"/>
      <c r="O44" s="13" t="n"/>
      <c r="P44" s="13" t="n"/>
      <c r="Q44" s="17" t="n"/>
      <c r="R44" s="18">
        <f>IF(AND(P48&lt;&gt;"",Q48&lt;&gt;""),Q48-P48,"")</f>
        <v/>
      </c>
      <c r="S44" s="13" t="n"/>
      <c r="T44" s="13" t="n"/>
      <c r="U44" s="20" t="n"/>
      <c r="V44" s="13" t="n"/>
      <c r="W44" s="13" t="n"/>
      <c r="X44" s="13" t="n"/>
      <c r="Y44" s="13" t="n"/>
      <c r="Z44" s="13" t="n"/>
      <c r="AA44" s="13" t="n"/>
      <c r="AB44" s="13" t="n"/>
      <c r="AC44" s="13" t="n"/>
    </row>
    <row r="45" ht="18" customHeight="1" s="31">
      <c r="A45" s="13" t="inlineStr">
        <is>
          <t>farrer capital management</t>
        </is>
      </c>
      <c r="B45" s="13" t="inlineStr">
        <is>
          <t xml:space="preserve">Trade Systems and Operations </t>
        </is>
      </c>
      <c r="C45" s="13" t="inlineStr">
        <is>
          <t>Internship</t>
        </is>
      </c>
      <c r="D45" s="13" t="inlineStr">
        <is>
          <t>NSW</t>
        </is>
      </c>
      <c r="E45" s="13" t="n"/>
      <c r="F45" s="14" t="n">
        <v>46219</v>
      </c>
      <c r="G45" s="13" t="n"/>
      <c r="H45" s="13" t="inlineStr">
        <is>
          <t>Prosple</t>
        </is>
      </c>
      <c r="I45" s="13" t="n"/>
      <c r="J45" s="13" t="n"/>
      <c r="K45" s="13" t="n"/>
      <c r="L45" s="13" t="n"/>
      <c r="M45" s="13" t="n"/>
      <c r="N45" s="13" t="n"/>
      <c r="O45" s="13" t="n"/>
      <c r="P45" s="13" t="n"/>
      <c r="Q45" s="17" t="n"/>
      <c r="R45" s="18">
        <f>IF(AND(P49&lt;&gt;"",Q49&lt;&gt;""),Q49-P49,"")</f>
        <v/>
      </c>
      <c r="S45" s="13" t="n"/>
      <c r="T45" s="13" t="n"/>
      <c r="U45" s="20" t="n"/>
      <c r="V45" s="13" t="n"/>
      <c r="W45" s="13" t="n"/>
      <c r="X45" s="13" t="n"/>
      <c r="Y45" s="13" t="n"/>
      <c r="Z45" s="13" t="n"/>
      <c r="AA45" s="13" t="n"/>
      <c r="AB45" s="13" t="n"/>
      <c r="AC45" s="13" t="n"/>
    </row>
    <row r="46" ht="17.25" customHeight="1" s="31">
      <c r="A46" s="13" t="inlineStr">
        <is>
          <t>fivecast</t>
        </is>
      </c>
      <c r="B46" s="13" t="inlineStr">
        <is>
          <t>data science</t>
        </is>
      </c>
      <c r="C46" s="13" t="inlineStr">
        <is>
          <t>Internship</t>
        </is>
      </c>
      <c r="D46" s="13" t="inlineStr">
        <is>
          <t>NSW</t>
        </is>
      </c>
      <c r="E46" s="13" t="n"/>
      <c r="F46" s="14" t="n">
        <v>46169</v>
      </c>
      <c r="G46" s="13" t="n"/>
      <c r="H46" s="13" t="inlineStr">
        <is>
          <t>Prosple</t>
        </is>
      </c>
      <c r="I46" s="13" t="n"/>
      <c r="J46" s="13" t="n"/>
      <c r="K46" s="13" t="n"/>
      <c r="L46" s="13" t="n"/>
      <c r="M46" s="13" t="n"/>
      <c r="N46" s="13" t="n"/>
      <c r="O46" s="13" t="n"/>
      <c r="P46" s="13" t="n"/>
      <c r="Q46" s="17" t="n"/>
      <c r="R46" s="18">
        <f>IF(AND(P50&lt;&gt;"",Q50&lt;&gt;""),Q50-P50,"")</f>
        <v/>
      </c>
      <c r="S46" s="13" t="n"/>
      <c r="T46" s="13" t="n"/>
      <c r="U46" s="20" t="n"/>
      <c r="V46" s="13" t="n"/>
      <c r="W46" s="13" t="n"/>
      <c r="X46" s="13" t="n"/>
      <c r="Y46" s="13" t="n"/>
      <c r="Z46" s="13" t="n"/>
      <c r="AA46" s="13" t="n"/>
      <c r="AB46" s="13" t="n"/>
      <c r="AC46" s="13" t="n"/>
    </row>
    <row r="47" ht="18" customHeight="1" s="31">
      <c r="A47" s="13" t="inlineStr">
        <is>
          <t>flight centre</t>
        </is>
      </c>
      <c r="B47" s="13" t="n"/>
      <c r="C47" s="13" t="inlineStr">
        <is>
          <t>Graduate Program</t>
        </is>
      </c>
      <c r="D47" s="13" t="inlineStr">
        <is>
          <t>NSW</t>
        </is>
      </c>
      <c r="E47" s="13" t="n"/>
      <c r="F47" s="14" t="inlineStr">
        <is>
          <t>sep</t>
        </is>
      </c>
      <c r="G47" s="13" t="n"/>
      <c r="H47" s="13" t="inlineStr">
        <is>
          <t>Prosple</t>
        </is>
      </c>
      <c r="I47" s="13" t="n"/>
      <c r="J47" s="13" t="n"/>
      <c r="K47" s="13" t="n"/>
      <c r="L47" s="13" t="n"/>
      <c r="M47" s="13" t="n"/>
      <c r="N47" s="13" t="n"/>
      <c r="O47" s="13" t="n"/>
      <c r="P47" s="13" t="n"/>
      <c r="Q47" s="17" t="n"/>
      <c r="R47" s="18">
        <f>IF(AND(P51&lt;&gt;"",Q51&lt;&gt;""),Q51-P51,"")</f>
        <v/>
      </c>
      <c r="S47" s="13" t="n"/>
      <c r="T47" s="13" t="n"/>
      <c r="U47" s="20" t="n"/>
      <c r="V47" s="13" t="n"/>
      <c r="W47" s="13" t="n"/>
      <c r="X47" s="13" t="n"/>
      <c r="Y47" s="13" t="n"/>
      <c r="Z47" s="13" t="n"/>
      <c r="AA47" s="13" t="n"/>
      <c r="AB47" s="13" t="n"/>
      <c r="AC47" s="13" t="n"/>
    </row>
    <row r="48" ht="18" customHeight="1" s="31">
      <c r="A48" s="13" t="inlineStr">
        <is>
          <t>FTI Consulting</t>
        </is>
      </c>
      <c r="B48" s="13" t="inlineStr">
        <is>
          <t>Data Analytics</t>
        </is>
      </c>
      <c r="C48" s="13" t="inlineStr">
        <is>
          <t>Internship</t>
        </is>
      </c>
      <c r="D48" s="13" t="inlineStr">
        <is>
          <t>NSW, WA</t>
        </is>
      </c>
      <c r="E48" s="13" t="n"/>
      <c r="F48" s="14" t="n">
        <v>46093</v>
      </c>
      <c r="G48" s="13" t="n"/>
      <c r="H48" s="13" t="inlineStr">
        <is>
          <t>Prosple</t>
        </is>
      </c>
      <c r="I48" s="13" t="n"/>
      <c r="J48" s="13" t="n"/>
      <c r="K48" s="13" t="n"/>
      <c r="L48" s="13" t="n"/>
      <c r="M48" s="13" t="n"/>
      <c r="N48" s="13" t="n"/>
      <c r="O48" s="13" t="n"/>
      <c r="P48" s="14" t="inlineStr">
        <is>
          <t>4 May 2026 - 18 Jul 2026</t>
        </is>
      </c>
      <c r="Q48" s="17" t="n"/>
      <c r="R48" s="18">
        <f>IF(AND(P52&lt;&gt;"",Q52&lt;&gt;""),Q52-P52,"")</f>
        <v/>
      </c>
      <c r="S48" s="13" t="n"/>
      <c r="T48" s="13" t="inlineStr">
        <is>
          <t>36 / Hour</t>
        </is>
      </c>
      <c r="U48" s="20" t="inlineStr">
        <is>
          <t>2-4</t>
        </is>
      </c>
      <c r="V48" s="13" t="n"/>
      <c r="W48" s="13" t="n"/>
      <c r="X48" s="13" t="n"/>
      <c r="Y48" s="13" t="n"/>
      <c r="Z48" s="13" t="n"/>
      <c r="AA48" s="13" t="n"/>
      <c r="AB48" s="13" t="n"/>
      <c r="AC48" s="13" t="n"/>
    </row>
    <row r="49" ht="15.75" customHeight="1" s="31">
      <c r="A49" s="13" t="inlineStr">
        <is>
          <t>fujitsu</t>
        </is>
      </c>
      <c r="B49" s="13" t="inlineStr">
        <is>
          <t>Business Analyst</t>
        </is>
      </c>
      <c r="C49" s="13" t="inlineStr">
        <is>
          <t>Graduate Program</t>
        </is>
      </c>
      <c r="D49" s="13" t="inlineStr">
        <is>
          <t>NSW</t>
        </is>
      </c>
      <c r="E49" s="13" t="n"/>
      <c r="F49" s="23" t="inlineStr">
        <is>
          <t>sep</t>
        </is>
      </c>
      <c r="G49" s="13" t="n"/>
      <c r="H49" s="13" t="inlineStr">
        <is>
          <t>Prosple</t>
        </is>
      </c>
      <c r="I49" s="13" t="n"/>
      <c r="J49" s="13" t="n"/>
      <c r="K49" s="13" t="n"/>
      <c r="L49" s="13" t="n"/>
      <c r="M49" s="13" t="n"/>
      <c r="N49" s="13" t="n"/>
      <c r="O49" s="13" t="n"/>
      <c r="P49" s="13" t="n"/>
      <c r="Q49" s="17" t="n"/>
      <c r="R49" s="18">
        <f>IF(AND(P53&lt;&gt;"",Q53&lt;&gt;""),Q53-P53,"")</f>
        <v/>
      </c>
      <c r="S49" s="13" t="n"/>
      <c r="T49" s="13" t="n"/>
      <c r="U49" s="20" t="n"/>
      <c r="V49" s="13" t="n"/>
      <c r="W49" s="13" t="n"/>
      <c r="X49" s="13" t="n"/>
      <c r="Y49" s="13" t="n"/>
      <c r="Z49" s="13" t="n"/>
      <c r="AA49" s="13" t="n"/>
      <c r="AB49" s="13" t="n"/>
      <c r="AC49" s="13" t="n"/>
    </row>
    <row r="50" ht="15.75" customHeight="1" s="31">
      <c r="A50" s="21" t="inlineStr">
        <is>
          <t>general motors</t>
        </is>
      </c>
      <c r="B50" s="21" t="inlineStr">
        <is>
          <t>Service Operations Business</t>
        </is>
      </c>
      <c r="C50" s="21" t="inlineStr">
        <is>
          <t>Internship</t>
        </is>
      </c>
      <c r="D50" s="13" t="inlineStr">
        <is>
          <t>NSW</t>
        </is>
      </c>
      <c r="E50" s="13" t="n"/>
      <c r="F50" s="23" t="inlineStr">
        <is>
          <t>oct</t>
        </is>
      </c>
      <c r="G50" s="13" t="n"/>
      <c r="H50" s="13" t="inlineStr">
        <is>
          <t>Prosple</t>
        </is>
      </c>
      <c r="I50" s="13" t="n"/>
      <c r="J50" s="13" t="n"/>
      <c r="K50" s="13" t="n"/>
      <c r="L50" s="13" t="n"/>
      <c r="M50" s="13" t="n"/>
      <c r="N50" s="13" t="n"/>
      <c r="O50" s="13" t="n"/>
      <c r="P50" s="13" t="n"/>
      <c r="Q50" s="17" t="n"/>
      <c r="R50" s="18">
        <f>IF(AND(P54&lt;&gt;"",Q54&lt;&gt;""),Q54-P54,"")</f>
        <v/>
      </c>
      <c r="S50" s="13" t="n"/>
      <c r="T50" s="13" t="n"/>
      <c r="U50" s="20" t="n"/>
      <c r="V50" s="13" t="n"/>
      <c r="W50" s="13" t="n"/>
      <c r="X50" s="13" t="n"/>
      <c r="Y50" s="13" t="n"/>
      <c r="Z50" s="13" t="n"/>
      <c r="AA50" s="13" t="n"/>
      <c r="AB50" s="13" t="n"/>
      <c r="AC50" s="13" t="n"/>
    </row>
    <row r="51" ht="15.75" customHeight="1" s="31">
      <c r="A51" s="13" t="inlineStr">
        <is>
          <t>hatch</t>
        </is>
      </c>
      <c r="B51" s="13" t="inlineStr">
        <is>
          <t>Analyst - Advisory</t>
        </is>
      </c>
      <c r="C51" s="13" t="inlineStr">
        <is>
          <t>Graduate Program</t>
        </is>
      </c>
      <c r="D51" s="13" t="inlineStr">
        <is>
          <t>NSW</t>
        </is>
      </c>
      <c r="E51" s="13" t="n"/>
      <c r="F51" s="13" t="n"/>
      <c r="G51" s="13" t="n"/>
      <c r="H51" s="13" t="inlineStr">
        <is>
          <t>Prosple</t>
        </is>
      </c>
      <c r="I51" s="13" t="n"/>
      <c r="J51" s="13" t="n"/>
      <c r="K51" s="13" t="n"/>
      <c r="L51" s="13" t="n"/>
      <c r="M51" s="13" t="n"/>
      <c r="N51" s="13" t="n"/>
      <c r="O51" s="13" t="n"/>
      <c r="P51" s="13" t="n"/>
      <c r="Q51" s="17" t="n"/>
      <c r="R51" s="18">
        <f>IF(AND(P55&lt;&gt;"",Q55&lt;&gt;""),Q55-P55,"")</f>
        <v/>
      </c>
      <c r="S51" s="13" t="n"/>
      <c r="T51" s="13" t="n"/>
      <c r="U51" s="20" t="n"/>
      <c r="V51" s="13" t="n"/>
      <c r="W51" s="13" t="n"/>
      <c r="X51" s="13" t="n"/>
      <c r="Y51" s="13" t="n"/>
      <c r="Z51" s="13" t="n"/>
      <c r="AA51" s="13" t="n"/>
      <c r="AB51" s="13" t="n"/>
      <c r="AC51" s="13" t="n"/>
    </row>
    <row r="52" ht="15.75" customHeight="1" s="31">
      <c r="A52" s="13" t="inlineStr">
        <is>
          <t>Heidi Health</t>
        </is>
      </c>
      <c r="B52" s="13" t="inlineStr">
        <is>
          <t>Strategy &amp; Data Intern</t>
        </is>
      </c>
      <c r="C52" s="13" t="inlineStr">
        <is>
          <t>Internship</t>
        </is>
      </c>
      <c r="D52" s="13" t="inlineStr">
        <is>
          <t>VIC</t>
        </is>
      </c>
      <c r="E52" s="13" t="n"/>
      <c r="F52" s="13" t="n"/>
      <c r="G52" s="13" t="n"/>
      <c r="H52" s="13" t="inlineStr">
        <is>
          <t>Prosple</t>
        </is>
      </c>
      <c r="I52" s="13" t="n"/>
      <c r="J52" s="13" t="n"/>
      <c r="K52" s="13" t="n"/>
      <c r="L52" s="13" t="n"/>
      <c r="M52" s="13" t="n"/>
      <c r="N52" s="13" t="n"/>
      <c r="O52" s="13" t="n"/>
      <c r="P52" s="14" t="n">
        <v>46124</v>
      </c>
      <c r="Q52" s="17" t="n"/>
      <c r="R52" s="18">
        <f>IF(AND(P56&lt;&gt;"",Q56&lt;&gt;""),Q56-P56,"")</f>
        <v/>
      </c>
      <c r="S52" s="13" t="n"/>
      <c r="T52" s="13" t="n"/>
      <c r="U52" s="20" t="n"/>
      <c r="V52" s="13" t="n"/>
      <c r="W52" s="13" t="n"/>
      <c r="X52" s="13" t="n"/>
      <c r="Y52" s="13" t="n"/>
      <c r="Z52" s="13" t="n"/>
      <c r="AA52" s="13" t="n"/>
      <c r="AB52" s="13" t="n"/>
      <c r="AC52" s="13" t="n"/>
    </row>
    <row r="53" ht="15.75" customHeight="1" s="31">
      <c r="A53" s="13" t="inlineStr">
        <is>
          <t>IMC</t>
        </is>
      </c>
      <c r="B53" s="13" t="inlineStr">
        <is>
          <t>quantitative research</t>
        </is>
      </c>
      <c r="C53" s="13" t="inlineStr">
        <is>
          <t>Internship</t>
        </is>
      </c>
      <c r="D53" s="13" t="inlineStr">
        <is>
          <t>NSW</t>
        </is>
      </c>
      <c r="E53" s="13" t="n"/>
      <c r="F53" s="14" t="n">
        <v>46203</v>
      </c>
      <c r="G53" s="13" t="n"/>
      <c r="H53" s="13" t="inlineStr">
        <is>
          <t>Prosple</t>
        </is>
      </c>
      <c r="I53" s="13" t="n"/>
      <c r="J53" s="13" t="n"/>
      <c r="K53" s="13" t="n"/>
      <c r="L53" s="13" t="n"/>
      <c r="M53" s="13" t="n"/>
      <c r="N53" s="13" t="n"/>
      <c r="O53" s="13" t="n"/>
      <c r="P53" s="13" t="n"/>
      <c r="Q53" s="17" t="n"/>
      <c r="R53" s="18">
        <f>IF(AND(P57&lt;&gt;"",Q57&lt;&gt;""),Q57-P57,"")</f>
        <v/>
      </c>
      <c r="S53" s="13" t="n"/>
      <c r="T53" s="13" t="n"/>
      <c r="U53" s="20" t="n"/>
      <c r="V53" s="13" t="n"/>
      <c r="W53" s="13" t="n"/>
      <c r="X53" s="13" t="n"/>
      <c r="Y53" s="13" t="n"/>
      <c r="Z53" s="13" t="n"/>
      <c r="AA53" s="13" t="n"/>
      <c r="AB53" s="13" t="n"/>
      <c r="AC53" s="13" t="n"/>
    </row>
    <row r="54" ht="15.75" customHeight="1" s="31">
      <c r="A54" s="13" t="inlineStr">
        <is>
          <t>jpmorganchase</t>
        </is>
      </c>
      <c r="B54" s="13" t="inlineStr">
        <is>
          <t>coporate analyst</t>
        </is>
      </c>
      <c r="C54" s="13" t="inlineStr">
        <is>
          <t>Graduate Program</t>
        </is>
      </c>
      <c r="D54" s="13" t="inlineStr">
        <is>
          <t>NSW</t>
        </is>
      </c>
      <c r="E54" s="13" t="n"/>
      <c r="F54" s="14" t="n">
        <v>46108</v>
      </c>
      <c r="G54" s="13" t="n"/>
      <c r="H54" s="13" t="inlineStr">
        <is>
          <t>Prosple</t>
        </is>
      </c>
      <c r="I54" s="13" t="n"/>
      <c r="J54" s="13" t="n"/>
      <c r="K54" s="13" t="n"/>
      <c r="L54" s="13" t="n"/>
      <c r="M54" s="13" t="n"/>
      <c r="N54" s="13" t="n"/>
      <c r="O54" s="13" t="n"/>
      <c r="P54" s="13" t="n"/>
      <c r="Q54" s="17" t="n"/>
      <c r="R54" s="18">
        <f>IF(AND(P58&lt;&gt;"",Q58&lt;&gt;""),Q58-P58,"")</f>
        <v/>
      </c>
      <c r="S54" s="13" t="n"/>
      <c r="T54" s="13" t="n"/>
      <c r="U54" s="20" t="n"/>
      <c r="V54" s="13" t="n"/>
      <c r="W54" s="13" t="n"/>
      <c r="X54" s="13" t="n"/>
      <c r="Y54" s="13" t="n"/>
      <c r="Z54" s="13" t="n"/>
      <c r="AA54" s="13" t="n"/>
      <c r="AB54" s="13" t="n"/>
      <c r="AC54" s="13" t="n"/>
    </row>
    <row r="55" ht="15.75" customHeight="1" s="31">
      <c r="A55" s="13" t="inlineStr">
        <is>
          <t>KPMG</t>
        </is>
      </c>
      <c r="B55" s="13" t="inlineStr">
        <is>
          <t>Forensic Risk - Consulting</t>
        </is>
      </c>
      <c r="C55" s="13" t="inlineStr">
        <is>
          <t>Graduate Program</t>
        </is>
      </c>
      <c r="D55" s="13" t="inlineStr">
        <is>
          <t>QLD</t>
        </is>
      </c>
      <c r="E55" s="13" t="n"/>
      <c r="F55" s="14" t="n">
        <v>46091</v>
      </c>
      <c r="G55" s="13" t="n"/>
      <c r="H55" s="13" t="inlineStr">
        <is>
          <t>Prosple</t>
        </is>
      </c>
      <c r="I55" s="13" t="n"/>
      <c r="J55" s="13" t="n"/>
      <c r="K55" s="13" t="n"/>
      <c r="L55" s="13" t="n"/>
      <c r="M55" s="13" t="n"/>
      <c r="N55" s="13" t="n"/>
      <c r="O55" s="13" t="n"/>
      <c r="P55" s="14" t="n">
        <v>46426</v>
      </c>
      <c r="Q55" s="17" t="n"/>
      <c r="R55" s="18">
        <f>IF(AND(P59&lt;&gt;"",Q59&lt;&gt;""),Q59-P59,"")</f>
        <v/>
      </c>
      <c r="S55" s="13" t="n"/>
      <c r="T55" s="13" t="inlineStr">
        <is>
          <t>60k-82k</t>
        </is>
      </c>
      <c r="U55" s="20" t="inlineStr">
        <is>
          <t>1-700</t>
        </is>
      </c>
      <c r="V55" s="13" t="n"/>
      <c r="W55" s="13" t="n"/>
      <c r="X55" s="13" t="n"/>
      <c r="Y55" s="13" t="n"/>
      <c r="Z55" s="13" t="n"/>
      <c r="AA55" s="13" t="n"/>
      <c r="AB55" s="13" t="n"/>
      <c r="AC55" s="13" t="n"/>
    </row>
    <row r="56" ht="15.75" customHeight="1" s="31">
      <c r="A56" s="13" t="inlineStr">
        <is>
          <t>loreal</t>
        </is>
      </c>
      <c r="B56" s="13" t="inlineStr">
        <is>
          <t>Management Trainee Program – Data &amp; Analytics Stream</t>
        </is>
      </c>
      <c r="C56" s="13" t="inlineStr">
        <is>
          <t>Graduate Program</t>
        </is>
      </c>
      <c r="D56" s="13" t="inlineStr">
        <is>
          <t>VIC</t>
        </is>
      </c>
      <c r="E56" s="13" t="n"/>
      <c r="F56" s="14" t="n">
        <v>46093</v>
      </c>
      <c r="G56" s="33" t="n">
        <v>46277</v>
      </c>
      <c r="H56" s="13" t="inlineStr">
        <is>
          <t>Prosple</t>
        </is>
      </c>
      <c r="I56" s="13" t="n"/>
      <c r="J56" s="13" t="n"/>
      <c r="K56" s="13" t="n"/>
      <c r="L56" s="13" t="n"/>
      <c r="M56" s="13" t="inlineStr">
        <is>
          <t>Applied</t>
        </is>
      </c>
      <c r="N56" s="13" t="n"/>
      <c r="O56" s="13" t="n"/>
      <c r="P56" s="14" t="n">
        <v>46416</v>
      </c>
      <c r="Q56" s="17" t="n"/>
      <c r="R56" s="18">
        <f>IF(AND(P60&lt;&gt;"",Q60&lt;&gt;""),Q60-P60,"")</f>
        <v/>
      </c>
      <c r="S56" s="13" t="n"/>
      <c r="T56" s="13" t="inlineStr">
        <is>
          <t>66k-75k</t>
        </is>
      </c>
      <c r="U56" s="20" t="inlineStr">
        <is>
          <t>1-3</t>
        </is>
      </c>
      <c r="V56" s="13" t="n"/>
      <c r="W56" s="13" t="n"/>
      <c r="X56" s="13" t="n"/>
      <c r="Y56" s="13" t="n"/>
      <c r="Z56" s="13" t="n"/>
      <c r="AA56" s="13" t="n"/>
      <c r="AB56" s="13" t="n"/>
      <c r="AC56" s="13" t="n"/>
    </row>
    <row r="57" ht="15.75" customHeight="1" s="31">
      <c r="A57" s="13" t="inlineStr">
        <is>
          <t>McGrathNicol</t>
        </is>
      </c>
      <c r="B57" s="13" t="inlineStr">
        <is>
          <t>Data Analytics</t>
        </is>
      </c>
      <c r="C57" s="13" t="inlineStr">
        <is>
          <t>Graduate Program</t>
        </is>
      </c>
      <c r="D57" s="13" t="inlineStr">
        <is>
          <t>QLD</t>
        </is>
      </c>
      <c r="E57" s="13" t="n"/>
      <c r="F57" s="14" t="n">
        <v>46264</v>
      </c>
      <c r="G57" s="13" t="n"/>
      <c r="H57" s="13" t="inlineStr">
        <is>
          <t>Prosple</t>
        </is>
      </c>
      <c r="I57" s="13" t="n"/>
      <c r="J57" s="13" t="n"/>
      <c r="K57" s="13" t="n"/>
      <c r="L57" s="13" t="n"/>
      <c r="M57" s="13" t="n"/>
      <c r="N57" s="13" t="n"/>
      <c r="O57" s="13" t="n"/>
      <c r="P57" s="14" t="n">
        <v>46440</v>
      </c>
      <c r="Q57" s="17" t="n"/>
      <c r="R57" s="18">
        <f>IF(AND(P61&lt;&gt;"",Q61&lt;&gt;""),Q61-P61,"")</f>
        <v/>
      </c>
      <c r="S57" s="13" t="n"/>
      <c r="T57" s="13" t="inlineStr">
        <is>
          <t>78k</t>
        </is>
      </c>
      <c r="U57" s="20" t="inlineStr">
        <is>
          <t>1-3</t>
        </is>
      </c>
      <c r="V57" s="13" t="n"/>
      <c r="W57" s="13" t="n"/>
      <c r="X57" s="13" t="n"/>
      <c r="Y57" s="13" t="n"/>
      <c r="Z57" s="13" t="n"/>
      <c r="AA57" s="13" t="n"/>
      <c r="AB57" s="13" t="n"/>
      <c r="AC57" s="13" t="n"/>
    </row>
    <row r="58" ht="15.75" customHeight="1" s="31">
      <c r="A58" s="13" t="inlineStr">
        <is>
          <t>mckinsey &amp; company</t>
        </is>
      </c>
      <c r="B58" s="13" t="inlineStr">
        <is>
          <t>business analsyt</t>
        </is>
      </c>
      <c r="C58" s="13" t="inlineStr">
        <is>
          <t>Graduate Program</t>
        </is>
      </c>
      <c r="D58" s="13" t="inlineStr">
        <is>
          <t>NSW</t>
        </is>
      </c>
      <c r="E58" s="13" t="n"/>
      <c r="F58" s="14" t="n">
        <v>46075</v>
      </c>
      <c r="G58" s="13" t="n"/>
      <c r="H58" s="13" t="inlineStr">
        <is>
          <t>Prosple</t>
        </is>
      </c>
      <c r="I58" s="13" t="n"/>
      <c r="J58" s="13" t="n"/>
      <c r="K58" s="13" t="n"/>
      <c r="L58" s="13" t="n"/>
      <c r="M58" s="13" t="n"/>
      <c r="N58" s="13" t="n"/>
      <c r="O58" s="13" t="n"/>
      <c r="P58" s="13" t="n"/>
      <c r="Q58" s="17" t="n"/>
      <c r="R58" s="18">
        <f>IF(AND(P62&lt;&gt;"",Q62&lt;&gt;""),Q62-P62,"")</f>
        <v/>
      </c>
      <c r="S58" s="13" t="n"/>
      <c r="T58" s="13" t="n"/>
      <c r="U58" s="20" t="n"/>
      <c r="V58" s="13" t="n"/>
      <c r="W58" s="13" t="n"/>
      <c r="X58" s="13" t="n"/>
      <c r="Y58" s="13" t="n"/>
      <c r="Z58" s="13" t="n"/>
      <c r="AA58" s="13" t="n"/>
      <c r="AB58" s="13" t="n"/>
      <c r="AC58" s="13" t="n"/>
    </row>
    <row r="59" ht="15.75" customHeight="1" s="31">
      <c r="A59" s="13" t="inlineStr">
        <is>
          <t>mercedes benz</t>
        </is>
      </c>
      <c r="B59" s="13" t="inlineStr">
        <is>
          <t>performance &amp; Insights</t>
        </is>
      </c>
      <c r="C59" s="13" t="inlineStr">
        <is>
          <t>Internship</t>
        </is>
      </c>
      <c r="D59" s="13" t="inlineStr">
        <is>
          <t>NSW</t>
        </is>
      </c>
      <c r="E59" s="13" t="n"/>
      <c r="F59" s="14" t="inlineStr">
        <is>
          <t>oct</t>
        </is>
      </c>
      <c r="G59" s="13" t="n"/>
      <c r="H59" s="13" t="inlineStr">
        <is>
          <t>Prosple</t>
        </is>
      </c>
      <c r="I59" s="13" t="n"/>
      <c r="J59" s="13" t="n"/>
      <c r="K59" s="13" t="n"/>
      <c r="L59" s="13" t="n"/>
      <c r="M59" s="13" t="n"/>
      <c r="N59" s="13" t="n"/>
      <c r="O59" s="13" t="n"/>
      <c r="P59" s="13" t="n"/>
      <c r="Q59" s="17" t="n"/>
      <c r="R59" s="18">
        <f>IF(AND(P63&lt;&gt;"",Q63&lt;&gt;""),Q63-P63,"")</f>
        <v/>
      </c>
      <c r="S59" s="13" t="n"/>
      <c r="T59" s="13" t="n"/>
      <c r="U59" s="20" t="n"/>
      <c r="V59" s="13" t="n"/>
      <c r="W59" s="13" t="n"/>
      <c r="X59" s="13" t="n"/>
      <c r="Y59" s="13" t="n"/>
      <c r="Z59" s="13" t="n"/>
      <c r="AA59" s="13" t="n"/>
      <c r="AB59" s="13" t="n"/>
      <c r="AC59" s="13" t="n"/>
    </row>
    <row r="60" ht="15.75" customHeight="1" s="31">
      <c r="A60" s="13" t="inlineStr">
        <is>
          <t>moody's corporation</t>
        </is>
      </c>
      <c r="B60" s="13" t="inlineStr">
        <is>
          <t>Predictive Analytics Intern</t>
        </is>
      </c>
      <c r="C60" s="13" t="inlineStr">
        <is>
          <t>Internship</t>
        </is>
      </c>
      <c r="D60" s="13" t="inlineStr">
        <is>
          <t>NSW</t>
        </is>
      </c>
      <c r="E60" s="13" t="n"/>
      <c r="F60" s="14" t="n">
        <v>46140</v>
      </c>
      <c r="G60" s="13" t="n"/>
      <c r="H60" s="13" t="inlineStr">
        <is>
          <t>Prosple</t>
        </is>
      </c>
      <c r="I60" s="13" t="n"/>
      <c r="J60" s="13" t="n"/>
      <c r="K60" s="13" t="n"/>
      <c r="L60" s="13" t="n"/>
      <c r="M60" s="13" t="n"/>
      <c r="N60" s="13" t="n"/>
      <c r="O60" s="13" t="n"/>
      <c r="P60" s="13" t="n"/>
      <c r="Q60" s="17" t="n"/>
      <c r="R60" s="18">
        <f>IF(AND(P64&lt;&gt;"",Q64&lt;&gt;""),Q64-P64,"")</f>
        <v/>
      </c>
      <c r="S60" s="13" t="n"/>
      <c r="T60" s="13" t="n"/>
      <c r="U60" s="20" t="n"/>
      <c r="V60" s="13" t="n"/>
      <c r="W60" s="13" t="n"/>
      <c r="X60" s="13" t="n"/>
      <c r="Y60" s="13" t="n"/>
      <c r="Z60" s="13" t="n"/>
      <c r="AA60" s="13" t="n"/>
      <c r="AB60" s="13" t="n"/>
      <c r="AC60" s="13" t="n"/>
    </row>
    <row r="61" ht="15.75" customHeight="1" s="31">
      <c r="A61" s="13" t="inlineStr">
        <is>
          <t>nab</t>
        </is>
      </c>
      <c r="B61" s="13" t="inlineStr">
        <is>
          <t>digital data and ai</t>
        </is>
      </c>
      <c r="C61" s="13" t="inlineStr">
        <is>
          <t>Internship</t>
        </is>
      </c>
      <c r="D61" s="13" t="inlineStr">
        <is>
          <t>VIC</t>
        </is>
      </c>
      <c r="E61" s="13" t="n"/>
      <c r="F61" s="14" t="n">
        <v>46243</v>
      </c>
      <c r="G61" s="13" t="n"/>
      <c r="H61" s="13" t="inlineStr">
        <is>
          <t>Prosple</t>
        </is>
      </c>
      <c r="I61" s="13" t="n"/>
      <c r="J61" s="13" t="n"/>
      <c r="K61" s="13" t="n"/>
      <c r="L61" s="13" t="n"/>
      <c r="M61" s="13" t="n"/>
      <c r="N61" s="13" t="n"/>
      <c r="O61" s="13" t="n"/>
      <c r="P61" s="14" t="n">
        <v>46349</v>
      </c>
      <c r="Q61" s="17" t="n"/>
      <c r="R61" s="18">
        <f>IF(AND(P65&lt;&gt;"",Q65&lt;&gt;""),Q65-P65,"")</f>
        <v/>
      </c>
      <c r="S61" s="13" t="n"/>
      <c r="T61" s="13" t="inlineStr">
        <is>
          <t>65-70k</t>
        </is>
      </c>
      <c r="U61" s="20" t="n"/>
      <c r="V61" s="13" t="n"/>
      <c r="W61" s="13" t="n"/>
      <c r="X61" s="13" t="n"/>
      <c r="Y61" s="13" t="n"/>
      <c r="Z61" s="13" t="n"/>
      <c r="AA61" s="13" t="inlineStr">
        <is>
          <t>NDIS Quality and Safeguards Commission Data Analyst Intern</t>
        </is>
      </c>
      <c r="AB61" s="13" t="inlineStr">
        <is>
          <t>Insurance Risk &amp; Claims Analytics Dashboard, Bank Loan Application Tracking Dashboard, Credit Fraud Detection Classifier Analysis, Customer Segmentation in Bank Campaigns Presentation</t>
        </is>
      </c>
      <c r="AC61" s="13" t="n"/>
    </row>
    <row r="62" ht="15.75" customHeight="1" s="31">
      <c r="A62" s="13" t="inlineStr">
        <is>
          <t>nestle</t>
        </is>
      </c>
      <c r="B62" s="13" t="n"/>
      <c r="C62" s="13" t="inlineStr">
        <is>
          <t>Graduate Program</t>
        </is>
      </c>
      <c r="D62" s="13" t="inlineStr">
        <is>
          <t>NSW</t>
        </is>
      </c>
      <c r="E62" s="13" t="n"/>
      <c r="F62" s="14" t="inlineStr">
        <is>
          <t>june</t>
        </is>
      </c>
      <c r="G62" s="13" t="n"/>
      <c r="H62" s="13" t="inlineStr">
        <is>
          <t>Prosple</t>
        </is>
      </c>
      <c r="I62" s="13" t="n"/>
      <c r="J62" s="13" t="n"/>
      <c r="K62" s="13" t="n"/>
      <c r="L62" s="13" t="n"/>
      <c r="M62" s="13" t="n"/>
      <c r="N62" s="13" t="n"/>
      <c r="O62" s="13" t="n"/>
      <c r="P62" s="13" t="n"/>
      <c r="Q62" s="17" t="n"/>
      <c r="R62" s="18">
        <f>IF(AND(P66&lt;&gt;"",Q66&lt;&gt;""),Q66-P66,"")</f>
        <v/>
      </c>
      <c r="S62" s="13" t="n"/>
      <c r="T62" s="13" t="n"/>
      <c r="U62" s="20" t="n"/>
      <c r="V62" s="13" t="n"/>
      <c r="W62" s="13" t="n"/>
      <c r="X62" s="13" t="n"/>
      <c r="Y62" s="13" t="n"/>
      <c r="Z62" s="13" t="n"/>
      <c r="AA62" s="13" t="n"/>
      <c r="AB62" s="13" t="n"/>
      <c r="AC62" s="13" t="n"/>
    </row>
    <row r="63" ht="15.75" customHeight="1" s="31">
      <c r="A63" s="13" t="inlineStr">
        <is>
          <t>NSW government</t>
        </is>
      </c>
      <c r="B63" s="13" t="inlineStr">
        <is>
          <t>Data analytics</t>
        </is>
      </c>
      <c r="C63" s="13" t="inlineStr">
        <is>
          <t>Graduate Program</t>
        </is>
      </c>
      <c r="D63" s="13" t="inlineStr">
        <is>
          <t>NSW</t>
        </is>
      </c>
      <c r="E63" s="13" t="n"/>
      <c r="F63" s="13" t="n"/>
      <c r="G63" s="13" t="n"/>
      <c r="H63" s="13" t="inlineStr">
        <is>
          <t>Prosple</t>
        </is>
      </c>
      <c r="I63" s="13" t="n"/>
      <c r="J63" s="13" t="n"/>
      <c r="K63" s="13" t="n"/>
      <c r="L63" s="13" t="n"/>
      <c r="M63" s="13" t="n"/>
      <c r="N63" s="13" t="n"/>
      <c r="O63" s="13" t="n"/>
      <c r="P63" s="13" t="n"/>
      <c r="Q63" s="17" t="n"/>
      <c r="R63" s="18">
        <f>IF(AND(P67&lt;&gt;"",Q67&lt;&gt;""),Q67-P67,"")</f>
        <v/>
      </c>
      <c r="S63" s="13" t="n"/>
      <c r="T63" s="13" t="n"/>
      <c r="U63" s="20" t="n"/>
      <c r="V63" s="13" t="n"/>
      <c r="W63" s="13" t="n"/>
      <c r="X63" s="13" t="n"/>
      <c r="Y63" s="13" t="n"/>
      <c r="Z63" s="13" t="n"/>
      <c r="AA63" s="13" t="n"/>
      <c r="AB63" s="13" t="n"/>
      <c r="AC63" s="13" t="n"/>
    </row>
    <row r="64" ht="15.75" customHeight="1" s="31">
      <c r="A64" s="13" t="inlineStr">
        <is>
          <t>nti</t>
        </is>
      </c>
      <c r="B64" s="13" t="inlineStr">
        <is>
          <t xml:space="preserve">Graduate Business Analyst - IT </t>
        </is>
      </c>
      <c r="C64" s="13" t="inlineStr">
        <is>
          <t>Graduate Program</t>
        </is>
      </c>
      <c r="D64" s="13" t="inlineStr">
        <is>
          <t>NSW</t>
        </is>
      </c>
      <c r="E64" s="13" t="n"/>
      <c r="F64" s="14" t="inlineStr">
        <is>
          <t>jun</t>
        </is>
      </c>
      <c r="G64" s="13" t="n"/>
      <c r="H64" s="13" t="inlineStr">
        <is>
          <t>Prosple</t>
        </is>
      </c>
      <c r="I64" s="13" t="n"/>
      <c r="J64" s="13" t="n"/>
      <c r="K64" s="13" t="n"/>
      <c r="L64" s="13" t="n"/>
      <c r="M64" s="13" t="n"/>
      <c r="N64" s="13" t="n"/>
      <c r="O64" s="13" t="n"/>
      <c r="P64" s="13" t="n"/>
      <c r="Q64" s="17" t="n"/>
      <c r="R64" s="18">
        <f>IF(AND(P68&lt;&gt;"",Q68&lt;&gt;""),Q68-P68,"")</f>
        <v/>
      </c>
      <c r="S64" s="13" t="n"/>
      <c r="T64" s="13" t="n"/>
      <c r="U64" s="20" t="n"/>
      <c r="V64" s="13" t="n"/>
      <c r="W64" s="13" t="n"/>
      <c r="X64" s="13" t="n"/>
      <c r="Y64" s="13" t="n"/>
      <c r="Z64" s="13" t="n"/>
      <c r="AA64" s="13" t="n"/>
      <c r="AB64" s="13" t="n"/>
      <c r="AC64" s="13" t="n"/>
    </row>
    <row r="65" ht="15.75" customHeight="1" s="31">
      <c r="A65" s="13" t="inlineStr">
        <is>
          <t>openmesh</t>
        </is>
      </c>
      <c r="B65" s="13" t="inlineStr">
        <is>
          <t>data science or analyst</t>
        </is>
      </c>
      <c r="C65" s="13" t="inlineStr">
        <is>
          <t>Internship</t>
        </is>
      </c>
      <c r="D65" s="13" t="inlineStr">
        <is>
          <t>NSW</t>
        </is>
      </c>
      <c r="E65" s="13" t="n"/>
      <c r="F65" s="14" t="inlineStr">
        <is>
          <t>oct</t>
        </is>
      </c>
      <c r="G65" s="13" t="n"/>
      <c r="H65" s="13" t="inlineStr">
        <is>
          <t>Prosple</t>
        </is>
      </c>
      <c r="I65" s="13" t="n"/>
      <c r="J65" s="13" t="n"/>
      <c r="K65" s="13" t="n"/>
      <c r="L65" s="13" t="n"/>
      <c r="M65" s="13" t="n"/>
      <c r="N65" s="13" t="n"/>
      <c r="O65" s="13" t="n"/>
      <c r="P65" s="13" t="n"/>
      <c r="Q65" s="17" t="n"/>
      <c r="R65" s="18">
        <f>IF(AND(P69&lt;&gt;"",Q69&lt;&gt;""),Q69-P69,"")</f>
        <v/>
      </c>
      <c r="S65" s="13" t="n"/>
      <c r="T65" s="13" t="n"/>
      <c r="U65" s="20" t="n"/>
      <c r="V65" s="13" t="n"/>
      <c r="W65" s="13" t="n"/>
      <c r="X65" s="13" t="n"/>
      <c r="Y65" s="13" t="n"/>
      <c r="Z65" s="13" t="n"/>
      <c r="AA65" s="13" t="n"/>
      <c r="AB65" s="13" t="n"/>
      <c r="AC65" s="13" t="n"/>
    </row>
    <row r="66" ht="15.75" customHeight="1" s="31">
      <c r="A66" s="13" t="inlineStr">
        <is>
          <t>optiver</t>
        </is>
      </c>
      <c r="B66" s="13" t="inlineStr">
        <is>
          <t>quantitative research</t>
        </is>
      </c>
      <c r="C66" s="13" t="inlineStr">
        <is>
          <t>Graduate Program</t>
        </is>
      </c>
      <c r="D66" s="13" t="inlineStr">
        <is>
          <t>NSW</t>
        </is>
      </c>
      <c r="E66" s="13" t="n"/>
      <c r="F66" s="14" t="n">
        <v>46122</v>
      </c>
      <c r="G66" s="13" t="n"/>
      <c r="H66" s="13" t="inlineStr">
        <is>
          <t>Prosple</t>
        </is>
      </c>
      <c r="I66" s="13" t="n"/>
      <c r="J66" s="13" t="n"/>
      <c r="K66" s="13" t="n"/>
      <c r="L66" s="13" t="n"/>
      <c r="M66" s="13" t="n"/>
      <c r="N66" s="13" t="n"/>
      <c r="O66" s="13" t="n"/>
      <c r="P66" s="13" t="n"/>
      <c r="Q66" s="17" t="n"/>
      <c r="R66" s="18">
        <f>IF(AND(P70&lt;&gt;"",Q70&lt;&gt;""),Q70-P70,"")</f>
        <v/>
      </c>
      <c r="S66" s="13" t="n"/>
      <c r="T66" s="13" t="n"/>
      <c r="U66" s="20" t="n"/>
      <c r="V66" s="13" t="n"/>
      <c r="W66" s="13" t="n"/>
      <c r="X66" s="13" t="n"/>
      <c r="Y66" s="13" t="n"/>
      <c r="Z66" s="13" t="n"/>
      <c r="AA66" s="13" t="n"/>
      <c r="AB66" s="13" t="n"/>
      <c r="AC66" s="13" t="n"/>
    </row>
    <row r="67" ht="15.75" customHeight="1" s="31">
      <c r="A67" s="13" t="inlineStr">
        <is>
          <t>origin</t>
        </is>
      </c>
      <c r="B67" s="13" t="inlineStr">
        <is>
          <t>business analyst</t>
        </is>
      </c>
      <c r="C67" s="13" t="inlineStr">
        <is>
          <t>Graduate Program</t>
        </is>
      </c>
      <c r="D67" s="13" t="inlineStr">
        <is>
          <t>NSW</t>
        </is>
      </c>
      <c r="E67" s="13" t="n"/>
      <c r="F67" s="14" t="n">
        <v>46166</v>
      </c>
      <c r="G67" s="14" t="n">
        <v>46166</v>
      </c>
      <c r="H67" s="13" t="inlineStr">
        <is>
          <t>Prosple</t>
        </is>
      </c>
      <c r="I67" s="13" t="n"/>
      <c r="J67" s="13" t="n"/>
      <c r="K67" s="13" t="n"/>
      <c r="L67" s="13" t="n"/>
      <c r="M67" s="13" t="n"/>
      <c r="N67" s="13" t="n"/>
      <c r="O67" s="13" t="n"/>
      <c r="P67" s="13" t="n"/>
      <c r="Q67" s="17" t="n"/>
      <c r="R67" s="18">
        <f>IF(AND(P71&lt;&gt;"",Q71&lt;&gt;""),Q71-P71,"")</f>
        <v/>
      </c>
      <c r="S67" s="13" t="n"/>
      <c r="T67" s="13" t="n"/>
      <c r="U67" s="20" t="n"/>
      <c r="V67" s="13" t="n"/>
      <c r="W67" s="13" t="n"/>
      <c r="X67" s="13" t="n"/>
      <c r="Y67" s="13" t="n"/>
      <c r="Z67" s="13" t="n"/>
      <c r="AA67" s="13" t="inlineStr">
        <is>
          <t>NDIS Quality and Safeguards Commission Data Analyst Intern</t>
        </is>
      </c>
      <c r="AB67" s="13" t="inlineStr">
        <is>
          <t>Customer Churn Forecasting Analysis in Telecom Services, Insurance Risk &amp; Claims Analytics Dashboard, Vendor Performance Analytics Dashboard, Credit Fraud Detection Classifier Analysis</t>
        </is>
      </c>
      <c r="AC67" s="13" t="n"/>
    </row>
    <row r="68" ht="15.75" customHeight="1" s="31">
      <c r="A68" s="13" t="inlineStr">
        <is>
          <t>QBE Insurance</t>
        </is>
      </c>
      <c r="B68" s="13" t="inlineStr">
        <is>
          <t>data analytics</t>
        </is>
      </c>
      <c r="C68" s="13" t="inlineStr">
        <is>
          <t>Internship</t>
        </is>
      </c>
      <c r="D68" s="13" t="inlineStr">
        <is>
          <t>NSW</t>
        </is>
      </c>
      <c r="E68" s="13" t="n"/>
      <c r="F68" s="14" t="n">
        <v>46253</v>
      </c>
      <c r="G68" s="13" t="n"/>
      <c r="H68" s="13" t="inlineStr">
        <is>
          <t>Prosple</t>
        </is>
      </c>
      <c r="I68" s="13" t="n"/>
      <c r="J68" s="13" t="n"/>
      <c r="K68" s="13" t="n"/>
      <c r="L68" s="13" t="n"/>
      <c r="M68" s="13" t="n"/>
      <c r="N68" s="13" t="n"/>
      <c r="O68" s="13" t="n"/>
      <c r="P68" s="13" t="n"/>
      <c r="Q68" s="17" t="n"/>
      <c r="R68" s="18">
        <f>IF(AND(P72&lt;&gt;"",Q72&lt;&gt;""),Q72-P72,"")</f>
        <v/>
      </c>
      <c r="S68" s="13" t="n"/>
      <c r="T68" s="13" t="n"/>
      <c r="U68" s="20" t="n"/>
      <c r="V68" s="13" t="n"/>
      <c r="W68" s="13" t="n"/>
      <c r="X68" s="13" t="n"/>
      <c r="Y68" s="13" t="n"/>
      <c r="Z68" s="13" t="n"/>
      <c r="AA68" s="13" t="n"/>
      <c r="AB68" s="13" t="n"/>
      <c r="AC68" s="13" t="n"/>
    </row>
    <row r="69" ht="15.75" customHeight="1" s="31">
      <c r="A69" s="13" t="inlineStr">
        <is>
          <t xml:space="preserve">queensland government digital </t>
        </is>
      </c>
      <c r="B69" s="13" t="inlineStr">
        <is>
          <t>Data analytics</t>
        </is>
      </c>
      <c r="C69" s="13" t="inlineStr">
        <is>
          <t>Graduate School</t>
        </is>
      </c>
      <c r="D69" s="13" t="inlineStr">
        <is>
          <t>QLD</t>
        </is>
      </c>
      <c r="E69" s="13" t="n"/>
      <c r="F69" s="13" t="n"/>
      <c r="G69" s="13" t="n"/>
      <c r="H69" s="13" t="inlineStr">
        <is>
          <t>Prosple</t>
        </is>
      </c>
      <c r="I69" s="13" t="n"/>
      <c r="J69" s="13" t="n"/>
      <c r="K69" s="13" t="n"/>
      <c r="L69" s="13" t="n"/>
      <c r="M69" s="13" t="n"/>
      <c r="N69" s="13" t="n"/>
      <c r="O69" s="13" t="n"/>
      <c r="P69" s="13" t="n"/>
      <c r="Q69" s="17" t="n"/>
      <c r="R69" s="18">
        <f>IF(AND(P73&lt;&gt;"",Q73&lt;&gt;""),Q73-P73,"")</f>
        <v/>
      </c>
      <c r="S69" s="13" t="n"/>
      <c r="T69" s="13" t="n"/>
      <c r="U69" s="20" t="n"/>
      <c r="V69" s="13" t="n"/>
      <c r="W69" s="13" t="n"/>
      <c r="X69" s="13" t="n"/>
      <c r="Y69" s="13" t="n"/>
      <c r="Z69" s="13" t="n"/>
      <c r="AA69" s="13" t="n"/>
      <c r="AB69" s="13" t="n"/>
      <c r="AC69" s="13" t="n"/>
    </row>
    <row r="70" ht="15.75" customHeight="1" s="31">
      <c r="A70" s="13" t="inlineStr">
        <is>
          <t>shell</t>
        </is>
      </c>
      <c r="B70" s="13" t="inlineStr">
        <is>
          <t>business analyst</t>
        </is>
      </c>
      <c r="C70" s="13" t="inlineStr">
        <is>
          <t>Graduate Program</t>
        </is>
      </c>
      <c r="D70" s="13" t="inlineStr">
        <is>
          <t>NSW</t>
        </is>
      </c>
      <c r="E70" s="13" t="n"/>
      <c r="F70" s="14" t="inlineStr">
        <is>
          <t>sep</t>
        </is>
      </c>
      <c r="G70" s="13" t="n"/>
      <c r="H70" s="13" t="inlineStr">
        <is>
          <t>Prosple</t>
        </is>
      </c>
      <c r="I70" s="13" t="n"/>
      <c r="J70" s="13" t="n"/>
      <c r="K70" s="13" t="n"/>
      <c r="L70" s="13" t="n"/>
      <c r="M70" s="13" t="n"/>
      <c r="N70" s="13" t="n"/>
      <c r="O70" s="13" t="n"/>
      <c r="P70" s="13" t="n"/>
      <c r="Q70" s="17" t="n"/>
      <c r="R70" s="18">
        <f>IF(AND(P74&lt;&gt;"",Q74&lt;&gt;""),Q74-P74,"")</f>
        <v/>
      </c>
      <c r="S70" s="13" t="n"/>
      <c r="T70" s="13" t="n"/>
      <c r="U70" s="20" t="n"/>
      <c r="V70" s="13" t="n"/>
      <c r="W70" s="13" t="n"/>
      <c r="X70" s="13" t="n"/>
      <c r="Y70" s="13" t="n"/>
      <c r="Z70" s="13" t="n"/>
      <c r="AA70" s="13" t="n"/>
      <c r="AB70" s="13" t="n"/>
      <c r="AC70" s="13" t="n"/>
    </row>
    <row r="71" ht="15.75" customHeight="1" s="31">
      <c r="A71" s="13" t="inlineStr">
        <is>
          <t>sportsbet</t>
        </is>
      </c>
      <c r="B71" s="13" t="inlineStr">
        <is>
          <t xml:space="preserve">Graduate Data Scientist Risk &amp; Pricing </t>
        </is>
      </c>
      <c r="C71" s="13" t="inlineStr">
        <is>
          <t>Graduate Program</t>
        </is>
      </c>
      <c r="D71" s="13" t="inlineStr">
        <is>
          <t>NSW</t>
        </is>
      </c>
      <c r="E71" s="13" t="n"/>
      <c r="F71" s="14" t="n">
        <v>46264</v>
      </c>
      <c r="G71" s="13" t="n"/>
      <c r="H71" s="13" t="inlineStr">
        <is>
          <t>Prosple</t>
        </is>
      </c>
      <c r="I71" s="13" t="n"/>
      <c r="J71" s="13" t="n"/>
      <c r="K71" s="13" t="n"/>
      <c r="L71" s="13" t="n"/>
      <c r="M71" s="13" t="n"/>
      <c r="N71" s="13" t="n"/>
      <c r="O71" s="13" t="n"/>
      <c r="P71" s="13" t="n"/>
      <c r="Q71" s="17" t="n"/>
      <c r="R71" s="18">
        <f>IF(AND(P75&lt;&gt;"",Q75&lt;&gt;""),Q75-P75,"")</f>
        <v/>
      </c>
      <c r="S71" s="13" t="n"/>
      <c r="T71" s="13" t="n"/>
      <c r="U71" s="20" t="n"/>
      <c r="V71" s="13" t="n"/>
      <c r="W71" s="13" t="n"/>
      <c r="X71" s="13" t="n"/>
      <c r="Y71" s="13" t="n"/>
      <c r="Z71" s="13" t="n"/>
      <c r="AA71" s="13" t="n"/>
      <c r="AB71" s="13" t="n"/>
      <c r="AC71" s="13" t="n"/>
    </row>
    <row r="72" ht="15.75" customHeight="1" s="31">
      <c r="A72" s="13" t="inlineStr">
        <is>
          <t>Spotlight Retail Group (SRG)</t>
        </is>
      </c>
      <c r="B72" s="13" t="inlineStr">
        <is>
          <t xml:space="preserve">CRM &amp; Loyalty Analyst </t>
        </is>
      </c>
      <c r="C72" s="13" t="inlineStr">
        <is>
          <t>Full-time</t>
        </is>
      </c>
      <c r="D72" s="13" t="inlineStr">
        <is>
          <t>NSW</t>
        </is>
      </c>
      <c r="E72" s="13" t="n"/>
      <c r="F72" s="13" t="n"/>
      <c r="G72" s="13" t="n"/>
      <c r="H72" s="13" t="inlineStr">
        <is>
          <t>Prosple</t>
        </is>
      </c>
      <c r="I72" s="13" t="n"/>
      <c r="J72" s="13" t="n"/>
      <c r="K72" s="13" t="n"/>
      <c r="L72" s="13" t="n"/>
      <c r="M72" s="13" t="n"/>
      <c r="N72" s="13" t="n"/>
      <c r="O72" s="13" t="n"/>
      <c r="P72" s="13" t="n"/>
      <c r="Q72" s="17" t="n"/>
      <c r="R72" s="18">
        <f>IF(AND(P76&lt;&gt;"",Q76&lt;&gt;""),Q76-P76,"")</f>
        <v/>
      </c>
      <c r="S72" s="13" t="n"/>
      <c r="T72" s="13" t="n"/>
      <c r="U72" s="20" t="n"/>
      <c r="V72" s="13" t="n"/>
      <c r="W72" s="13" t="n"/>
      <c r="X72" s="13" t="n"/>
      <c r="Y72" s="13" t="n"/>
      <c r="Z72" s="13" t="n"/>
      <c r="AA72" s="13" t="n"/>
      <c r="AB72" s="13" t="n"/>
      <c r="AC72" s="13" t="n"/>
    </row>
    <row r="73" ht="15.75" customHeight="1" s="31">
      <c r="A73" s="13" t="inlineStr">
        <is>
          <t>streem</t>
        </is>
      </c>
      <c r="B73" s="13" t="inlineStr">
        <is>
          <t>Junior Media Analyst - Remote</t>
        </is>
      </c>
      <c r="C73" s="13" t="inlineStr">
        <is>
          <t>Full-time</t>
        </is>
      </c>
      <c r="D73" s="13" t="inlineStr">
        <is>
          <t>Remote</t>
        </is>
      </c>
      <c r="E73" s="13" t="n"/>
      <c r="F73" s="13" t="n"/>
      <c r="G73" s="13" t="n"/>
      <c r="H73" s="13" t="inlineStr">
        <is>
          <t>Prosple</t>
        </is>
      </c>
      <c r="I73" s="13" t="n"/>
      <c r="J73" s="13" t="n"/>
      <c r="K73" s="13" t="n"/>
      <c r="L73" s="13" t="n"/>
      <c r="M73" s="13" t="n"/>
      <c r="N73" s="13" t="n"/>
      <c r="O73" s="13" t="n"/>
      <c r="P73" s="13" t="n"/>
      <c r="Q73" s="17" t="n"/>
      <c r="R73" s="18">
        <f>IF(AND(P77&lt;&gt;"",Q77&lt;&gt;""),Q77-P77,"")</f>
        <v/>
      </c>
      <c r="S73" s="13" t="n"/>
      <c r="T73" s="13" t="n"/>
      <c r="U73" s="20" t="n"/>
      <c r="V73" s="13" t="n"/>
      <c r="W73" s="13" t="n"/>
      <c r="X73" s="13" t="n"/>
      <c r="Y73" s="13" t="n"/>
      <c r="Z73" s="13" t="n"/>
      <c r="AA73" s="13" t="n"/>
      <c r="AB73" s="13" t="n"/>
      <c r="AC73" s="13" t="n"/>
    </row>
    <row r="74" ht="15.75" customHeight="1" s="31">
      <c r="A74" s="13" t="inlineStr">
        <is>
          <t>suncorp</t>
        </is>
      </c>
      <c r="B74" s="13" t="n"/>
      <c r="C74" s="13" t="inlineStr">
        <is>
          <t>Graduate Program</t>
        </is>
      </c>
      <c r="D74" s="13" t="inlineStr">
        <is>
          <t>NSW</t>
        </is>
      </c>
      <c r="E74" s="13" t="n"/>
      <c r="F74" s="14" t="inlineStr">
        <is>
          <t>aug</t>
        </is>
      </c>
      <c r="G74" s="13" t="n"/>
      <c r="H74" s="13" t="inlineStr">
        <is>
          <t>Prosple</t>
        </is>
      </c>
      <c r="I74" s="13" t="n"/>
      <c r="J74" s="13" t="n"/>
      <c r="K74" s="13" t="n"/>
      <c r="L74" s="13" t="n"/>
      <c r="M74" s="13" t="n"/>
      <c r="N74" s="13" t="n"/>
      <c r="O74" s="13" t="n"/>
      <c r="P74" s="13" t="n"/>
      <c r="Q74" s="17" t="n"/>
      <c r="R74" s="18">
        <f>IF(AND(P78&lt;&gt;"",Q78&lt;&gt;""),Q78-P78,"")</f>
        <v/>
      </c>
      <c r="S74" s="13" t="n"/>
      <c r="T74" s="13" t="n"/>
      <c r="U74" s="20" t="n"/>
      <c r="V74" s="13" t="n"/>
      <c r="W74" s="13" t="n"/>
      <c r="X74" s="13" t="n"/>
      <c r="Y74" s="13" t="n"/>
      <c r="Z74" s="13" t="n"/>
      <c r="AA74" s="13" t="n"/>
      <c r="AB74" s="13" t="n"/>
      <c r="AC74" s="13" t="n"/>
    </row>
    <row r="75" ht="15.75" customHeight="1" s="31">
      <c r="A75" s="13" t="inlineStr">
        <is>
          <t>ventia</t>
        </is>
      </c>
      <c r="B75" s="13" t="inlineStr">
        <is>
          <t>data science &amp; analysics graduate</t>
        </is>
      </c>
      <c r="C75" s="13" t="inlineStr">
        <is>
          <t>Graduate Program</t>
        </is>
      </c>
      <c r="D75" s="13" t="inlineStr">
        <is>
          <t>QLD</t>
        </is>
      </c>
      <c r="E75" s="13" t="n"/>
      <c r="F75" s="14" t="n">
        <v>46250</v>
      </c>
      <c r="G75" s="13" t="n"/>
      <c r="H75" s="13" t="inlineStr">
        <is>
          <t>Prosple</t>
        </is>
      </c>
      <c r="I75" s="13" t="n"/>
      <c r="J75" s="13" t="n"/>
      <c r="K75" s="13" t="n"/>
      <c r="L75" s="13" t="n"/>
      <c r="M75" s="13" t="n"/>
      <c r="N75" s="13" t="n"/>
      <c r="O75" s="13" t="n"/>
      <c r="P75" s="14" t="n">
        <v>46047</v>
      </c>
      <c r="Q75" s="17" t="n"/>
      <c r="R75" s="18">
        <f>IF(AND(P79&lt;&gt;"",Q79&lt;&gt;""),Q79-P79,"")</f>
        <v/>
      </c>
      <c r="S75" s="13" t="n"/>
      <c r="T75" s="13" t="inlineStr">
        <is>
          <t>70-80k</t>
        </is>
      </c>
      <c r="U75" s="20" t="n"/>
      <c r="V75" s="13" t="n"/>
      <c r="W75" s="13" t="n"/>
      <c r="X75" s="13" t="n"/>
      <c r="Y75" s="13" t="n"/>
      <c r="Z75" s="13" t="n"/>
      <c r="AA75" s="13" t="n"/>
      <c r="AB75" s="13" t="n"/>
      <c r="AC75" s="13" t="n"/>
    </row>
    <row r="76" ht="15.75" customHeight="1" s="31">
      <c r="A76" s="13" t="inlineStr">
        <is>
          <t>Visa</t>
        </is>
      </c>
      <c r="B76" s="13" t="inlineStr">
        <is>
          <t>data science consulting</t>
        </is>
      </c>
      <c r="C76" s="13" t="inlineStr">
        <is>
          <t>Graduate Program</t>
        </is>
      </c>
      <c r="D76" s="13" t="inlineStr">
        <is>
          <t>NSW</t>
        </is>
      </c>
      <c r="E76" s="13" t="n"/>
      <c r="F76" s="13" t="n"/>
      <c r="G76" s="13" t="n"/>
      <c r="H76" s="13" t="inlineStr">
        <is>
          <t>Prosple</t>
        </is>
      </c>
      <c r="I76" s="13" t="n"/>
      <c r="J76" s="13" t="n"/>
      <c r="K76" s="13" t="n"/>
      <c r="L76" s="13" t="n"/>
      <c r="M76" s="13" t="n"/>
      <c r="N76" s="13" t="n"/>
      <c r="O76" s="13" t="n"/>
      <c r="P76" s="13" t="n"/>
      <c r="Q76" s="17" t="n"/>
      <c r="R76" s="18">
        <f>IF(AND(P80&lt;&gt;"",Q80&lt;&gt;""),Q80-P80,"")</f>
        <v/>
      </c>
      <c r="S76" s="13" t="n"/>
      <c r="T76" s="13" t="n"/>
      <c r="U76" s="20" t="n"/>
      <c r="V76" s="13" t="n"/>
      <c r="W76" s="13" t="n"/>
      <c r="X76" s="13" t="n"/>
      <c r="Y76" s="13" t="n"/>
      <c r="Z76" s="13" t="n"/>
      <c r="AA76" s="13" t="n"/>
      <c r="AB76" s="13" t="n"/>
      <c r="AC76" s="13" t="n"/>
    </row>
    <row r="77" ht="15.75" customHeight="1" s="31">
      <c r="A77" s="13" t="inlineStr">
        <is>
          <t>visagio</t>
        </is>
      </c>
      <c r="B77" s="13" t="inlineStr">
        <is>
          <t>data &amp; analytics consultant</t>
        </is>
      </c>
      <c r="C77" s="13" t="inlineStr">
        <is>
          <t>Graduate Program</t>
        </is>
      </c>
      <c r="D77" s="13" t="inlineStr">
        <is>
          <t>NSW</t>
        </is>
      </c>
      <c r="E77" s="13" t="n"/>
      <c r="F77" s="14" t="n">
        <v>46105</v>
      </c>
      <c r="G77" s="13" t="n"/>
      <c r="H77" s="13" t="inlineStr">
        <is>
          <t>Prosple</t>
        </is>
      </c>
      <c r="I77" s="13" t="n"/>
      <c r="J77" s="13" t="n"/>
      <c r="K77" s="13" t="n"/>
      <c r="L77" s="13" t="n"/>
      <c r="M77" s="13" t="n"/>
      <c r="N77" s="13" t="n"/>
      <c r="O77" s="13" t="n"/>
      <c r="P77" s="13" t="n"/>
      <c r="Q77" s="17" t="n"/>
      <c r="R77" s="18">
        <f>IF(AND(P81&lt;&gt;"",Q81&lt;&gt;""),Q81-P81,"")</f>
        <v/>
      </c>
      <c r="S77" s="13" t="n"/>
      <c r="T77" s="13" t="n"/>
      <c r="U77" s="20" t="n"/>
      <c r="V77" s="13" t="n"/>
      <c r="W77" s="13" t="n"/>
      <c r="X77" s="13" t="n"/>
      <c r="Y77" s="13" t="n"/>
      <c r="Z77" s="13" t="n"/>
      <c r="AA77" s="13" t="n"/>
      <c r="AB77" s="13" t="n"/>
      <c r="AC77" s="13" t="n"/>
    </row>
    <row r="78" ht="15.75" customHeight="1" s="31">
      <c r="A78" s="13" t="inlineStr">
        <is>
          <t>Vistar Media</t>
        </is>
      </c>
      <c r="B78" s="13" t="inlineStr">
        <is>
          <t xml:space="preserve">Analytics Associate </t>
        </is>
      </c>
      <c r="C78" s="13" t="inlineStr">
        <is>
          <t>Full-time</t>
        </is>
      </c>
      <c r="D78" s="13" t="inlineStr">
        <is>
          <t>NSW</t>
        </is>
      </c>
      <c r="E78" s="13" t="n"/>
      <c r="F78" s="13" t="n"/>
      <c r="G78" s="13" t="n"/>
      <c r="H78" s="13" t="inlineStr">
        <is>
          <t>Prosple</t>
        </is>
      </c>
      <c r="I78" s="13" t="n"/>
      <c r="J78" s="13" t="n"/>
      <c r="K78" s="13" t="n"/>
      <c r="L78" s="13" t="n"/>
      <c r="M78" s="13" t="n"/>
      <c r="N78" s="13" t="n"/>
      <c r="O78" s="13" t="n"/>
      <c r="P78" s="13" t="n"/>
      <c r="Q78" s="17" t="n"/>
      <c r="R78" s="18">
        <f>IF(AND(P82&lt;&gt;"",Q82&lt;&gt;""),Q82-P82,"")</f>
        <v/>
      </c>
      <c r="S78" s="13" t="n"/>
      <c r="T78" s="13" t="n"/>
      <c r="U78" s="20" t="n"/>
      <c r="V78" s="13" t="n"/>
      <c r="W78" s="13" t="n"/>
      <c r="X78" s="13" t="n"/>
      <c r="Y78" s="13" t="n"/>
      <c r="Z78" s="13" t="n"/>
      <c r="AA78" s="13" t="n"/>
      <c r="AB78" s="13" t="n"/>
      <c r="AC78" s="13" t="n"/>
    </row>
    <row r="79" ht="15.75" customHeight="1" s="31">
      <c r="A79" s="13" t="inlineStr">
        <is>
          <t>Westpac</t>
        </is>
      </c>
      <c r="B79" s="13" t="inlineStr">
        <is>
          <t>Technology (Data)</t>
        </is>
      </c>
      <c r="C79" s="13" t="inlineStr">
        <is>
          <t>Graduate Program</t>
        </is>
      </c>
      <c r="D79" s="13" t="inlineStr">
        <is>
          <t>NSW</t>
        </is>
      </c>
      <c r="E79" s="13" t="n"/>
      <c r="F79" s="14" t="n">
        <v>46248</v>
      </c>
      <c r="G79" s="13" t="n"/>
      <c r="H79" s="13" t="inlineStr">
        <is>
          <t>Prosple</t>
        </is>
      </c>
      <c r="I79" s="13" t="n"/>
      <c r="J79" s="13" t="n"/>
      <c r="K79" s="13" t="n"/>
      <c r="L79" s="13" t="n"/>
      <c r="M79" s="13" t="n"/>
      <c r="N79" s="13" t="n"/>
      <c r="O79" s="13" t="n"/>
      <c r="P79" s="14" t="inlineStr">
        <is>
          <t>1 Feb 2027 - 28 Feb 2027</t>
        </is>
      </c>
      <c r="Q79" s="17" t="n"/>
      <c r="R79" s="18">
        <f>IF(AND(P83&lt;&gt;"",Q83&lt;&gt;""),Q83-P83,"")</f>
        <v/>
      </c>
      <c r="S79" s="13" t="n"/>
      <c r="T79" s="13" t="inlineStr">
        <is>
          <t>80k-90k</t>
        </is>
      </c>
      <c r="U79" s="20" t="inlineStr">
        <is>
          <t>1-100</t>
        </is>
      </c>
      <c r="V79" s="13" t="n"/>
      <c r="W79" s="13" t="n"/>
      <c r="X79" s="13" t="n"/>
      <c r="Y79" s="13" t="n"/>
      <c r="Z79" s="13" t="n"/>
      <c r="AA79" s="13" t="n"/>
      <c r="AB79" s="13" t="n"/>
      <c r="AC79" s="13" t="n"/>
    </row>
    <row r="80" ht="15.75" customHeight="1" s="31">
      <c r="A80" s="13" t="inlineStr">
        <is>
          <t>westpac</t>
        </is>
      </c>
      <c r="B80" s="13" t="inlineStr">
        <is>
          <t>data digital ai</t>
        </is>
      </c>
      <c r="C80" s="13" t="inlineStr">
        <is>
          <t>Graduate Program</t>
        </is>
      </c>
      <c r="D80" s="13" t="inlineStr">
        <is>
          <t>QLD</t>
        </is>
      </c>
      <c r="E80" s="13" t="n"/>
      <c r="F80" s="14" t="n">
        <v>46248</v>
      </c>
      <c r="G80" s="13" t="n"/>
      <c r="H80" s="13" t="inlineStr">
        <is>
          <t>Prosple</t>
        </is>
      </c>
      <c r="I80" s="13" t="n"/>
      <c r="J80" s="13" t="n"/>
      <c r="K80" s="13" t="n"/>
      <c r="L80" s="13" t="n"/>
      <c r="M80" s="13" t="n"/>
      <c r="N80" s="13" t="n"/>
      <c r="O80" s="13" t="n"/>
      <c r="P80" s="14" t="n">
        <v>46068</v>
      </c>
      <c r="Q80" s="17" t="n"/>
      <c r="R80" s="18">
        <f>IF(AND(P84&lt;&gt;"",Q84&lt;&gt;""),Q84-P84,"")</f>
        <v/>
      </c>
      <c r="S80" s="13" t="n"/>
      <c r="T80" s="13" t="inlineStr">
        <is>
          <t>80-90k</t>
        </is>
      </c>
      <c r="U80" s="20" t="n"/>
      <c r="V80" s="13" t="n"/>
      <c r="W80" s="13" t="n"/>
      <c r="X80" s="13" t="n"/>
      <c r="Y80" s="13" t="n"/>
      <c r="Z80" s="13" t="n"/>
      <c r="AA80" s="13" t="n"/>
      <c r="AB80" s="13" t="n"/>
      <c r="AC80" s="13" t="n"/>
    </row>
    <row r="81" ht="15.75" customHeight="1" s="31">
      <c r="A81" s="13" t="inlineStr">
        <is>
          <t>evolution mining</t>
        </is>
      </c>
      <c r="B81" s="13" t="inlineStr">
        <is>
          <t>people and culture</t>
        </is>
      </c>
      <c r="C81" s="13" t="inlineStr">
        <is>
          <t>Internship</t>
        </is>
      </c>
      <c r="D81" s="13" t="inlineStr">
        <is>
          <t>NSW</t>
        </is>
      </c>
      <c r="E81" s="13" t="n"/>
      <c r="F81" s="13" t="n"/>
      <c r="G81" s="14" t="n">
        <v>46096</v>
      </c>
      <c r="H81" s="13" t="inlineStr">
        <is>
          <t>Prosple</t>
        </is>
      </c>
      <c r="I81" s="13" t="n"/>
      <c r="J81" s="13" t="inlineStr">
        <is>
          <t>Yes</t>
        </is>
      </c>
      <c r="K81" s="13" t="n"/>
      <c r="L81" s="13" t="n"/>
      <c r="M81" s="13" t="inlineStr">
        <is>
          <t>Applied</t>
        </is>
      </c>
      <c r="N81" s="13" t="n"/>
      <c r="O81" s="13" t="n"/>
      <c r="P81" s="14" t="inlineStr">
        <is>
          <t>12/1/2026 - 12/31/2026</t>
        </is>
      </c>
      <c r="Q81" s="17" t="n"/>
      <c r="R81" s="28" t="inlineStr">
        <is>
          <t>12 weeks</t>
        </is>
      </c>
      <c r="S81" s="13" t="n"/>
      <c r="T81" s="13" t="n"/>
      <c r="U81" s="20" t="n"/>
      <c r="V81" s="13" t="n"/>
      <c r="W81" s="13" t="n"/>
      <c r="X81" s="13" t="n"/>
      <c r="Y81" s="13" t="n"/>
      <c r="Z81" s="13" t="n"/>
      <c r="AA81" s="13" t="n"/>
      <c r="AB81" s="13" t="n"/>
      <c r="AC81" s="13" t="n"/>
    </row>
    <row r="82" ht="15.75" customHeight="1" s="31">
      <c r="A82" s="13" t="inlineStr">
        <is>
          <t>suncorp</t>
        </is>
      </c>
      <c r="B82" s="13" t="inlineStr">
        <is>
          <t>business analysis non technical</t>
        </is>
      </c>
      <c r="C82" s="13" t="inlineStr">
        <is>
          <t>Internship</t>
        </is>
      </c>
      <c r="D82" s="13" t="inlineStr">
        <is>
          <t>QLD</t>
        </is>
      </c>
      <c r="E82" s="13" t="n"/>
      <c r="F82" s="13" t="n"/>
      <c r="G82" s="14" t="n">
        <v>46096</v>
      </c>
      <c r="H82" s="13" t="inlineStr">
        <is>
          <t>Prosple</t>
        </is>
      </c>
      <c r="I82" s="13" t="n"/>
      <c r="J82" s="13" t="inlineStr">
        <is>
          <t>Yes</t>
        </is>
      </c>
      <c r="K82" s="13" t="inlineStr">
        <is>
          <t>yes</t>
        </is>
      </c>
      <c r="L82" s="13" t="n"/>
      <c r="M82" s="13" t="inlineStr">
        <is>
          <t>Finished Assessment</t>
        </is>
      </c>
      <c r="N82" s="13" t="n"/>
      <c r="O82" s="13" t="n"/>
      <c r="P82" s="14" t="n">
        <v>46350</v>
      </c>
      <c r="Q82" s="17" t="n">
        <v>46430</v>
      </c>
      <c r="R82" s="28" t="inlineStr">
        <is>
          <t>12 weeks</t>
        </is>
      </c>
      <c r="S82" s="13" t="n"/>
      <c r="T82" s="13" t="n">
        <v>37.92</v>
      </c>
      <c r="U82" s="20" t="n"/>
      <c r="V82" s="13" t="n"/>
      <c r="W82" s="13" t="n"/>
      <c r="X82" s="13" t="n"/>
      <c r="Y82" s="13" t="n"/>
      <c r="Z82" s="13" t="n"/>
      <c r="AA82" s="13" t="n"/>
      <c r="AB82" s="13" t="n"/>
      <c r="AC82" s="13" t="n"/>
    </row>
    <row r="83" ht="15.75" customHeight="1" s="31">
      <c r="A83" s="13" t="inlineStr">
        <is>
          <t>ARUP</t>
        </is>
      </c>
      <c r="B83" s="13" t="inlineStr">
        <is>
          <t>digital advisory</t>
        </is>
      </c>
      <c r="C83" s="13" t="inlineStr">
        <is>
          <t>Internship</t>
        </is>
      </c>
      <c r="D83" s="13" t="inlineStr">
        <is>
          <t>Hong Kong</t>
        </is>
      </c>
      <c r="E83" s="13" t="n"/>
      <c r="F83" s="13" t="n"/>
      <c r="G83" s="14" t="n">
        <v>46096</v>
      </c>
      <c r="H83" s="13" t="inlineStr">
        <is>
          <t>Prosple</t>
        </is>
      </c>
      <c r="I83" s="13" t="n"/>
      <c r="J83" s="13" t="inlineStr">
        <is>
          <t>Yes</t>
        </is>
      </c>
      <c r="K83" s="13" t="n"/>
      <c r="L83" s="13" t="n"/>
      <c r="M83" s="13" t="inlineStr">
        <is>
          <t>Applied</t>
        </is>
      </c>
      <c r="N83" s="13" t="n"/>
      <c r="O83" s="13" t="n"/>
      <c r="P83" s="14" t="n">
        <v>46349</v>
      </c>
      <c r="Q83" s="17" t="n"/>
      <c r="R83" s="28" t="inlineStr">
        <is>
          <t>12 weeks</t>
        </is>
      </c>
      <c r="S83" s="13" t="n"/>
      <c r="T83" s="13" t="inlineStr">
        <is>
          <t>34-35</t>
        </is>
      </c>
      <c r="U83" s="20" t="inlineStr">
        <is>
          <t>1</t>
        </is>
      </c>
      <c r="V83" s="13" t="n"/>
      <c r="W83" s="13" t="n"/>
      <c r="X83" s="13" t="n"/>
      <c r="Y83" s="13" t="n"/>
      <c r="Z83" s="13" t="n"/>
      <c r="AA83" s="13" t="n"/>
      <c r="AB83" s="13" t="n"/>
      <c r="AC83" s="13" t="n"/>
    </row>
    <row r="84" ht="15.75" customHeight="1" s="31">
      <c r="A84" s="13" t="inlineStr">
        <is>
          <t>APA</t>
        </is>
      </c>
      <c r="B84" s="13" t="inlineStr">
        <is>
          <t>data &amp; AI Governance</t>
        </is>
      </c>
      <c r="C84" s="13" t="inlineStr">
        <is>
          <t>Internship</t>
        </is>
      </c>
      <c r="D84" s="13" t="inlineStr">
        <is>
          <t>VIC</t>
        </is>
      </c>
      <c r="E84" s="13" t="n"/>
      <c r="F84" s="13" t="n"/>
      <c r="G84" s="14" t="n">
        <v>46096</v>
      </c>
      <c r="H84" s="13" t="inlineStr">
        <is>
          <t>Prosple</t>
        </is>
      </c>
      <c r="I84" s="13" t="n"/>
      <c r="J84" s="13" t="n"/>
      <c r="K84" s="13" t="n"/>
      <c r="L84" s="13" t="n"/>
      <c r="M84" s="13" t="inlineStr">
        <is>
          <t>Applied</t>
        </is>
      </c>
      <c r="N84" s="13" t="n"/>
      <c r="O84" s="13" t="n"/>
      <c r="P84" s="24" t="n">
        <v>46356</v>
      </c>
      <c r="Q84" s="17" t="n"/>
      <c r="R84" s="28" t="inlineStr">
        <is>
          <t>12 weeks</t>
        </is>
      </c>
      <c r="S84" s="13" t="n"/>
      <c r="T84" s="13" t="n"/>
      <c r="U84" s="20" t="n"/>
      <c r="V84" s="13" t="n"/>
      <c r="W84" s="13" t="n"/>
      <c r="X84" s="13" t="n"/>
      <c r="Y84" s="13" t="n"/>
      <c r="Z84" s="13" t="n"/>
      <c r="AA84" s="13" t="n"/>
      <c r="AB84" s="13" t="n"/>
      <c r="AC84" s="13" t="n"/>
    </row>
    <row r="85" ht="15.75" customHeight="1" s="31">
      <c r="A85" s="13" t="inlineStr">
        <is>
          <t>Rheinmetall</t>
        </is>
      </c>
      <c r="B85" s="13" t="inlineStr">
        <is>
          <t>data analytics</t>
        </is>
      </c>
      <c r="C85" s="13" t="inlineStr">
        <is>
          <t>Internship</t>
        </is>
      </c>
      <c r="D85" s="13" t="inlineStr">
        <is>
          <t>VIC</t>
        </is>
      </c>
      <c r="E85" s="13" t="n"/>
      <c r="F85" s="13" t="n"/>
      <c r="G85" s="14" t="n">
        <v>46096</v>
      </c>
      <c r="H85" s="13" t="inlineStr">
        <is>
          <t>Prosple</t>
        </is>
      </c>
      <c r="I85" s="13" t="n"/>
      <c r="J85" s="13" t="inlineStr">
        <is>
          <t>Yes</t>
        </is>
      </c>
      <c r="K85" s="13" t="n"/>
      <c r="L85" s="13" t="n"/>
      <c r="M85" s="13" t="inlineStr">
        <is>
          <t>Applied</t>
        </is>
      </c>
      <c r="N85" s="13" t="n"/>
      <c r="O85" s="13" t="n"/>
      <c r="P85" s="24" t="n">
        <v>46349</v>
      </c>
      <c r="Q85" s="17" t="n">
        <v>46437</v>
      </c>
      <c r="R85" s="28" t="inlineStr">
        <is>
          <t>12 weeks</t>
        </is>
      </c>
      <c r="S85" s="13" t="n"/>
      <c r="T85" s="13" t="inlineStr">
        <is>
          <t>36 or 66000</t>
        </is>
      </c>
      <c r="U85" s="20" t="inlineStr">
        <is>
          <t>5-6</t>
        </is>
      </c>
      <c r="V85" s="13" t="n"/>
      <c r="W85" s="13" t="n"/>
      <c r="X85" s="13" t="n"/>
      <c r="Y85" s="13" t="n"/>
      <c r="Z85" s="13" t="n"/>
      <c r="AA85" s="13" t="n"/>
      <c r="AB85" s="13" t="n"/>
      <c r="AC85" s="13" t="n"/>
    </row>
    <row r="86">
      <c r="A86" s="13" t="inlineStr">
        <is>
          <t>grant thornton</t>
        </is>
      </c>
      <c r="B86" s="13" t="inlineStr">
        <is>
          <t>business consulting</t>
        </is>
      </c>
      <c r="C86" s="13" t="inlineStr">
        <is>
          <t>Internship</t>
        </is>
      </c>
      <c r="D86" s="13" t="inlineStr">
        <is>
          <t>VIC</t>
        </is>
      </c>
      <c r="E86" s="13" t="n"/>
      <c r="F86" s="13" t="n"/>
      <c r="G86" s="14" t="n">
        <v>46096</v>
      </c>
      <c r="H86" s="13" t="inlineStr">
        <is>
          <t>Prosple</t>
        </is>
      </c>
      <c r="I86" s="13" t="n"/>
      <c r="J86" s="13" t="n"/>
      <c r="K86" s="13" t="n"/>
      <c r="L86" s="13" t="n"/>
      <c r="M86" s="13" t="inlineStr">
        <is>
          <t>Applied</t>
        </is>
      </c>
      <c r="N86" s="13" t="n"/>
      <c r="O86" s="13" t="n"/>
      <c r="P86" s="27" t="inlineStr">
        <is>
          <t>11/16/2026 - 18 jan 2027</t>
        </is>
      </c>
      <c r="Q86" s="17" t="n"/>
      <c r="R86" s="28" t="inlineStr">
        <is>
          <t>4-6 weeks</t>
        </is>
      </c>
      <c r="S86" s="13" t="n"/>
      <c r="T86" s="13" t="n">
        <v>278</v>
      </c>
      <c r="U86" s="20" t="inlineStr">
        <is>
          <t>1-10</t>
        </is>
      </c>
      <c r="V86" s="13" t="n"/>
      <c r="W86" s="13" t="n"/>
      <c r="X86" s="13" t="n"/>
      <c r="Y86" s="13" t="n"/>
      <c r="Z86" s="13" t="n"/>
      <c r="AA86" s="13" t="n"/>
      <c r="AB86" s="13" t="n"/>
      <c r="AC86" s="13" t="n"/>
    </row>
    <row r="87">
      <c r="A87" s="13" t="inlineStr">
        <is>
          <t>nab</t>
        </is>
      </c>
      <c r="B87" s="13" t="inlineStr">
        <is>
          <t>digital data and ai</t>
        </is>
      </c>
      <c r="C87" s="13" t="inlineStr">
        <is>
          <t>Internship</t>
        </is>
      </c>
      <c r="D87" s="13" t="inlineStr">
        <is>
          <t>VIC</t>
        </is>
      </c>
      <c r="E87" s="13" t="n"/>
      <c r="F87" s="13" t="n"/>
      <c r="G87" s="14" t="n">
        <v>46096</v>
      </c>
      <c r="H87" s="13" t="inlineStr">
        <is>
          <t>Prosple</t>
        </is>
      </c>
      <c r="I87" s="13" t="n"/>
      <c r="J87" s="13" t="n"/>
      <c r="K87" s="13" t="n"/>
      <c r="L87" s="13" t="n"/>
      <c r="M87" s="13" t="inlineStr">
        <is>
          <t>Rejected</t>
        </is>
      </c>
      <c r="N87" s="13" t="n"/>
      <c r="O87" s="13" t="n"/>
      <c r="P87" s="24" t="n">
        <v>46349</v>
      </c>
      <c r="Q87" s="17" t="n"/>
      <c r="R87" s="28" t="inlineStr">
        <is>
          <t>8 weeks</t>
        </is>
      </c>
      <c r="S87" s="13" t="n"/>
      <c r="T87" s="13" t="inlineStr">
        <is>
          <t>65000-70000</t>
        </is>
      </c>
      <c r="U87" s="20" t="inlineStr">
        <is>
          <t>1-4</t>
        </is>
      </c>
      <c r="V87" s="13" t="n"/>
      <c r="W87" s="13" t="n"/>
      <c r="X87" s="13" t="n"/>
      <c r="Y87" s="13" t="n"/>
      <c r="Z87" s="13" t="n"/>
      <c r="AA87" s="13" t="n"/>
      <c r="AB87" s="13" t="n"/>
      <c r="AC87" s="13" t="n"/>
    </row>
    <row r="88">
      <c r="A88" s="13" t="inlineStr">
        <is>
          <t>AECOM</t>
        </is>
      </c>
      <c r="B88" s="13" t="inlineStr">
        <is>
          <t>project management</t>
        </is>
      </c>
      <c r="C88" s="13" t="inlineStr">
        <is>
          <t>Internship</t>
        </is>
      </c>
      <c r="D88" s="13" t="inlineStr">
        <is>
          <t>VIC</t>
        </is>
      </c>
      <c r="E88" s="13" t="n"/>
      <c r="F88" s="13" t="n"/>
      <c r="G88" s="14" t="n">
        <v>46096</v>
      </c>
      <c r="H88" s="13" t="inlineStr">
        <is>
          <t>Prosple</t>
        </is>
      </c>
      <c r="I88" s="13" t="n"/>
      <c r="J88" s="13" t="n"/>
      <c r="K88" s="13" t="n"/>
      <c r="L88" s="13" t="n"/>
      <c r="M88" s="13" t="inlineStr">
        <is>
          <t>Applied</t>
        </is>
      </c>
      <c r="N88" s="13" t="n"/>
      <c r="O88" s="13" t="n"/>
      <c r="P88" s="24" t="n">
        <v>46342</v>
      </c>
      <c r="Q88" s="17" t="n"/>
      <c r="R88" s="28" t="inlineStr">
        <is>
          <t>12 weeks</t>
        </is>
      </c>
      <c r="S88" s="13" t="n"/>
      <c r="T88" s="13" t="n">
        <v>38</v>
      </c>
      <c r="U88" s="20" t="inlineStr">
        <is>
          <t>1-5</t>
        </is>
      </c>
      <c r="V88" s="13" t="n"/>
      <c r="W88" s="13" t="n"/>
      <c r="X88" s="13" t="n"/>
      <c r="Y88" s="13" t="n"/>
      <c r="Z88" s="13" t="n"/>
      <c r="AA88" s="13" t="n"/>
      <c r="AB88" s="13" t="n"/>
      <c r="AC88" s="13" t="n"/>
    </row>
    <row r="89">
      <c r="A89" s="13" t="inlineStr">
        <is>
          <t>Commonwealth Bank</t>
        </is>
      </c>
      <c r="B89" s="13" t="inlineStr">
        <is>
          <t>Technology &amp; AI -advanced Analytics</t>
        </is>
      </c>
      <c r="C89" s="13" t="inlineStr">
        <is>
          <t>Internship</t>
        </is>
      </c>
      <c r="D89" s="13" t="inlineStr">
        <is>
          <t>NSW</t>
        </is>
      </c>
      <c r="E89" s="13" t="n"/>
      <c r="F89" s="24" t="n">
        <v>46273</v>
      </c>
      <c r="G89" s="29" t="n">
        <v>46272</v>
      </c>
      <c r="H89" s="13" t="inlineStr">
        <is>
          <t>Prosple</t>
        </is>
      </c>
      <c r="I89" s="13" t="n"/>
      <c r="J89" s="13" t="n"/>
      <c r="K89" s="13" t="n"/>
      <c r="L89" s="13" t="n"/>
      <c r="M89" s="13" t="inlineStr">
        <is>
          <t>Applied</t>
        </is>
      </c>
      <c r="N89" s="13" t="n"/>
      <c r="O89" s="13" t="n"/>
      <c r="P89" s="24" t="n">
        <v>46349</v>
      </c>
      <c r="Q89" s="13" t="n"/>
      <c r="R89" s="28" t="inlineStr">
        <is>
          <t>10 weeks</t>
        </is>
      </c>
      <c r="S89" s="13" t="n"/>
      <c r="T89" s="26" t="n">
        <v>65000</v>
      </c>
      <c r="U89" s="20" t="inlineStr">
        <is>
          <t>1-8</t>
        </is>
      </c>
      <c r="V89" s="13" t="n"/>
      <c r="W89" s="13" t="n"/>
      <c r="X89" s="13" t="n"/>
      <c r="Y89" s="13" t="n"/>
      <c r="Z89" s="13" t="n"/>
      <c r="AA89" s="13" t="n"/>
      <c r="AB89" s="13" t="n"/>
      <c r="AC89" s="13" t="n"/>
    </row>
    <row r="90">
      <c r="A90" s="32" t="inlineStr">
        <is>
          <t>australian secruity intelligence organisation asio</t>
        </is>
      </c>
      <c r="B90" s="32" t="inlineStr">
        <is>
          <t>intelligence development program itelligence analyst</t>
        </is>
      </c>
      <c r="C90" s="32" t="inlineStr">
        <is>
          <t>Graduate Program</t>
        </is>
      </c>
      <c r="D90" s="32" t="inlineStr">
        <is>
          <t>ACT</t>
        </is>
      </c>
      <c r="F90" s="6" t="n">
        <v>46258</v>
      </c>
      <c r="G90" s="6" t="n">
        <v>46274</v>
      </c>
      <c r="H90" s="13" t="inlineStr">
        <is>
          <t>Prosple</t>
        </is>
      </c>
      <c r="M90" s="32" t="inlineStr">
        <is>
          <t>Withdrawn</t>
        </is>
      </c>
      <c r="P90" s="6" t="inlineStr">
        <is>
          <t>ongoing</t>
        </is>
      </c>
      <c r="T90" s="32" t="inlineStr">
        <is>
          <t>100425 - 125060</t>
        </is>
      </c>
      <c r="U90" s="7" t="inlineStr">
        <is>
          <t>5-50</t>
        </is>
      </c>
    </row>
    <row r="91">
      <c r="A91" s="32" t="inlineStr">
        <is>
          <t>accenture</t>
        </is>
      </c>
      <c r="B91" s="32" t="inlineStr">
        <is>
          <t>graduate analyst technology</t>
        </is>
      </c>
      <c r="C91" s="32" t="inlineStr">
        <is>
          <t>Graduate Program</t>
        </is>
      </c>
      <c r="D91" s="32" t="inlineStr">
        <is>
          <t>VIC</t>
        </is>
      </c>
      <c r="F91" s="6" t="n">
        <v>46264</v>
      </c>
      <c r="H91" s="32" t="inlineStr">
        <is>
          <t>Prosple</t>
        </is>
      </c>
      <c r="M91" s="32" t="inlineStr">
        <is>
          <t>Withdrawn</t>
        </is>
      </c>
      <c r="P91" s="6" t="inlineStr">
        <is>
          <t>1/19/2027 - 7/13/2027</t>
        </is>
      </c>
      <c r="T91" t="inlineStr">
        <is>
          <t>70000-80000</t>
        </is>
      </c>
      <c r="U91" s="7" t="inlineStr">
        <is>
          <t>1-45</t>
        </is>
      </c>
    </row>
    <row r="92">
      <c r="A92" s="32" t="inlineStr">
        <is>
          <t>tiktok</t>
        </is>
      </c>
      <c r="B92" t="inlineStr">
        <is>
          <t>business data analyst project intern (GBS)</t>
        </is>
      </c>
      <c r="C92" s="32" t="inlineStr">
        <is>
          <t>Internship</t>
        </is>
      </c>
      <c r="D92" s="32" t="inlineStr">
        <is>
          <t>NSW</t>
        </is>
      </c>
      <c r="F92" s="6" t="n">
        <v>46387</v>
      </c>
      <c r="G92" s="34" t="n">
        <v>46277</v>
      </c>
      <c r="H92" s="13" t="inlineStr">
        <is>
          <t>Prosple</t>
        </is>
      </c>
      <c r="M92" s="32" t="inlineStr">
        <is>
          <t>Applied</t>
        </is>
      </c>
      <c r="T92" t="inlineStr">
        <is>
          <t>2000-5000 per month</t>
        </is>
      </c>
    </row>
    <row r="93">
      <c r="A93" s="32" t="inlineStr">
        <is>
          <t>Didi</t>
        </is>
      </c>
      <c r="B93" s="32" t="inlineStr">
        <is>
          <t>operations intern</t>
        </is>
      </c>
      <c r="C93" s="32" t="inlineStr">
        <is>
          <t>Internship</t>
        </is>
      </c>
      <c r="D93" s="32" t="inlineStr">
        <is>
          <t>NSW</t>
        </is>
      </c>
      <c r="G93" s="34" t="n">
        <v>46277</v>
      </c>
      <c r="M93" s="32" t="inlineStr">
        <is>
          <t>Applied</t>
        </is>
      </c>
    </row>
    <row r="94">
      <c r="A94" s="32" t="inlineStr">
        <is>
          <t>tencent</t>
        </is>
      </c>
      <c r="B94" t="inlineStr">
        <is>
          <t>Game Reaserch Development intern, engine reasearch</t>
        </is>
      </c>
      <c r="C94" s="32" t="inlineStr">
        <is>
          <t>Internship</t>
        </is>
      </c>
      <c r="D94" s="32" t="inlineStr">
        <is>
          <t>NSW</t>
        </is>
      </c>
      <c r="G94" s="34" t="n">
        <v>46277</v>
      </c>
      <c r="M94" s="32" t="inlineStr">
        <is>
          <t>Applied</t>
        </is>
      </c>
    </row>
    <row r="95">
      <c r="A95" s="32" t="inlineStr">
        <is>
          <t>apple</t>
        </is>
      </c>
      <c r="B95" t="inlineStr">
        <is>
          <t>information systems and technology</t>
        </is>
      </c>
      <c r="C95" s="32" t="inlineStr">
        <is>
          <t>Internship</t>
        </is>
      </c>
      <c r="D95" s="32" t="inlineStr">
        <is>
          <t>NSW</t>
        </is>
      </c>
      <c r="G95" s="34" t="n">
        <v>46277</v>
      </c>
      <c r="M95" s="32" t="inlineStr">
        <is>
          <t>Applied</t>
        </is>
      </c>
    </row>
    <row r="96">
      <c r="A96" s="32" t="inlineStr">
        <is>
          <t>SAP</t>
        </is>
      </c>
      <c r="B96" t="inlineStr">
        <is>
          <t>student training and totation program intern</t>
        </is>
      </c>
      <c r="C96" s="32" t="inlineStr">
        <is>
          <t>Internship</t>
        </is>
      </c>
      <c r="D96" s="32" t="inlineStr">
        <is>
          <t>VIC</t>
        </is>
      </c>
      <c r="G96" s="34" t="n">
        <v>46277</v>
      </c>
      <c r="M96" s="32" t="inlineStr">
        <is>
          <t>Applied</t>
        </is>
      </c>
      <c r="R96" t="inlineStr">
        <is>
          <t>2 years</t>
        </is>
      </c>
    </row>
  </sheetData>
  <autoFilter ref="A1:AC94">
    <sortState ref="A2:AA85">
      <sortCondition ref="M1:M85"/>
    </sortState>
  </autoFilter>
  <conditionalFormatting sqref="A2:AC499">
    <cfRule type="expression" priority="1" dxfId="27">
      <formula>$M2="Researching"</formula>
    </cfRule>
    <cfRule type="expression" priority="2" dxfId="26">
      <formula>$M2="To Apply"</formula>
    </cfRule>
    <cfRule type="expression" priority="3" dxfId="25">
      <formula>$M2="Applied"</formula>
    </cfRule>
    <cfRule type="expression" priority="4" dxfId="24">
      <formula>$M2="Assessment"</formula>
    </cfRule>
    <cfRule type="expression" priority="5" dxfId="23">
      <formula>$M2="Phone Screen"</formula>
    </cfRule>
    <cfRule type="expression" priority="6" dxfId="21">
      <formula>$M2="Interview"</formula>
    </cfRule>
    <cfRule type="expression" priority="7" dxfId="21">
      <formula>$M2="Interviewing"</formula>
    </cfRule>
    <cfRule type="expression" priority="8" dxfId="5">
      <formula>$M2="Offer Received"</formula>
    </cfRule>
    <cfRule type="expression" priority="9" dxfId="5">
      <formula>$M2="Offer"</formula>
    </cfRule>
    <cfRule type="expression" priority="10" dxfId="4">
      <formula>$M2="Accepted"</formula>
    </cfRule>
    <cfRule type="expression" priority="11" dxfId="3">
      <formula>$M2="Rejected"</formula>
    </cfRule>
    <cfRule type="expression" priority="12" dxfId="2">
      <formula>$M2="Withdrawn"</formula>
    </cfRule>
    <cfRule type="expression" priority="13" dxfId="1">
      <formula>$M2="Finished Assessment"</formula>
    </cfRule>
    <cfRule type="expression" priority="14" dxfId="0">
      <formula>$M2="Ghosted"</formula>
    </cfRule>
    <cfRule type="expression" priority="15" dxfId="13">
      <formula>$M2="Researching"</formula>
    </cfRule>
    <cfRule type="expression" priority="16" dxfId="12">
      <formula>$M2="To Apply"</formula>
    </cfRule>
    <cfRule type="expression" priority="17" dxfId="11">
      <formula>$M2="Applied"</formula>
    </cfRule>
    <cfRule type="expression" priority="18" dxfId="10">
      <formula>$M2="Assessment"</formula>
    </cfRule>
    <cfRule type="expression" priority="19" dxfId="9">
      <formula>$M2="Phone Screen"</formula>
    </cfRule>
    <cfRule type="expression" priority="20" dxfId="7">
      <formula>$M2="Interview"</formula>
    </cfRule>
    <cfRule type="expression" priority="21" dxfId="7">
      <formula>$M2="Interviewing"</formula>
    </cfRule>
    <cfRule type="expression" priority="22" dxfId="5">
      <formula>$M2="Offer Received"</formula>
    </cfRule>
    <cfRule type="expression" priority="23" dxfId="5">
      <formula>$M2="Offer"</formula>
    </cfRule>
    <cfRule type="expression" priority="24" dxfId="4">
      <formula>$M2="Accepted"</formula>
    </cfRule>
    <cfRule type="expression" priority="25" dxfId="3">
      <formula>$M2="Rejected"</formula>
    </cfRule>
    <cfRule type="expression" priority="26" dxfId="2">
      <formula>$M2="Withdrawn"</formula>
    </cfRule>
    <cfRule type="expression" priority="27" dxfId="1">
      <formula>$M2="Finished Assessment"</formula>
    </cfRule>
    <cfRule type="expression" priority="28" dxfId="0">
      <formula>$M2="Ghosted"</formula>
    </cfRule>
  </conditionalFormatting>
  <dataValidations count="10">
    <dataValidation sqref="C86:C495" showDropDown="0" showInputMessage="0" showErrorMessage="0" allowBlank="1" type="list">
      <formula1>"Internship,Graduate Program,Full-Time,Part-Time,Casual,Contract"</formula1>
    </dataValidation>
    <dataValidation sqref="D86:D495" showDropDown="0" showInputMessage="0" showErrorMessage="0" allowBlank="1" type="list">
      <formula1>"NSW,VIC,QLD,WA,SA,TAS,ACT,NT,Remote,Hybrid,Other"</formula1>
    </dataValidation>
    <dataValidation sqref="H96:H98 H100:H495" showDropDown="0" showInputMessage="0" showErrorMessage="0" allowBlank="1" type="list">
      <formula1>"Seek,LinkedIn,Company Website,University Portal,Indeed,Referral,Career Fair,Other"</formula1>
    </dataValidation>
    <dataValidation sqref="K86:K495" showDropDown="0" showInputMessage="0" showErrorMessage="0" allowBlank="1" type="list">
      <formula1>"Not Started,Online Assessment,Video Interview,Assessment Centre,Interview,Final Round,Complete"</formula1>
    </dataValidation>
    <dataValidation sqref="U86:U495" showDropDown="0" showInputMessage="0" showErrorMessage="0" allowBlank="1" type="list">
      <formula1>"High,Medium,Low"</formula1>
    </dataValidation>
    <dataValidation sqref="T86:T495" showDropDown="0" showInputMessage="0" showErrorMessage="0" allowBlank="1" type="list">
      <formula1>"AU Citizen / PR,Any Visa,Sponsorship Available,Unknown"</formula1>
    </dataValidation>
    <dataValidation sqref="Q2:Q85" showDropDown="0" showInputMessage="0" showErrorMessage="0" allowBlank="1" type="list">
      <formula1>"⭐⭐⭐ High,⭐⭐ Medium,⭐ Low"</formula1>
    </dataValidation>
    <dataValidation sqref="C2:C85" showDropDown="0" showInputMessage="0" showErrorMessage="0" allowBlank="1" type="list">
      <formula1>"Internship,Graduate Program,Graduate School,Co-op,Part-time,Full-time"</formula1>
    </dataValidation>
    <dataValidation sqref="M2:M499" showDropDown="0" showInputMessage="0" showErrorMessage="0" allowBlank="1" type="list">
      <formula1>"Researching,To Apply,Applied,Assessment,Phone Screen,Interview,Offer Received,Accepted,Rejected,Withdrawn,Finished Assessment,Ghosted"</formula1>
    </dataValidation>
    <dataValidation sqref="I2:J49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topLeftCell="A4" workbookViewId="0">
      <selection activeCell="A1" sqref="A1"/>
    </sheetView>
  </sheetViews>
  <sheetFormatPr baseColWidth="8" defaultRowHeight="14.5"/>
  <cols>
    <col width="28" customWidth="1" style="31" min="1" max="1"/>
    <col width="16" customWidth="1" style="31" min="2" max="6"/>
  </cols>
  <sheetData>
    <row r="1" ht="16.5" customHeight="1" s="31">
      <c r="A1" s="2" t="inlineStr">
        <is>
          <t>How to use this workbook</t>
        </is>
      </c>
    </row>
    <row r="3">
      <c r="A3" s="3" t="inlineStr">
        <is>
          <t>Applications sheet</t>
        </is>
      </c>
    </row>
    <row r="4">
      <c r="A4" s="30" t="inlineStr">
        <is>
          <t>One row per job application. Row 2 (italic) is an example — delete or overwrite it once you add your own entries.</t>
        </is>
      </c>
    </row>
    <row r="6">
      <c r="A6" s="3" t="inlineStr">
        <is>
          <t>Dropdown columns</t>
        </is>
      </c>
    </row>
    <row r="7">
      <c r="A7" s="30" t="inlineStr">
        <is>
          <t>Type, Location, Source, Referral, Cover Letter, Assessment Stage, Status, Priority, and Work Rights Required all have dropdown lists — click a cell to pick a value.</t>
        </is>
      </c>
    </row>
    <row r="9">
      <c r="A9" s="3" t="inlineStr">
        <is>
          <t>Reason column</t>
        </is>
      </c>
    </row>
    <row r="10">
      <c r="A10" s="30" t="inlineStr">
        <is>
          <t>Fill this in when Status is Rejected or Withdrawn — the reason given, or your own reason for withdrawing.</t>
        </is>
      </c>
    </row>
    <row r="12">
      <c r="A12" s="3" t="inlineStr">
        <is>
          <t>Dates</t>
        </is>
      </c>
    </row>
    <row r="13">
      <c r="A13" s="30" t="inlineStr">
        <is>
          <t>Use YYYY-MM-DD format for consistency (Open Date, Deadline, Applied Date, Interview Date, Outcome Date, Start Date, Follow-up Date).</t>
        </is>
      </c>
    </row>
    <row r="15">
      <c r="A15" s="3" t="inlineStr">
        <is>
          <t>Next Action</t>
        </is>
      </c>
    </row>
    <row r="16">
      <c r="A16" s="30" t="inlineStr">
        <is>
          <t>A short note on what to do next for that application, e.g. 'Send thank-you email' or 'Chase after 2 weeks'.</t>
        </is>
      </c>
    </row>
    <row r="18">
      <c r="A18" s="3" t="inlineStr">
        <is>
          <t>This file feeds your website tracker</t>
        </is>
      </c>
    </row>
    <row r="19">
      <c r="A19" s="30" t="inlineStr">
        <is>
          <t>Claude Code reads this file and converts it to the JSON your job-tracker.html timeline displays. Update this sheet, then ask Claude Code to regenerate the JSON.</t>
        </is>
      </c>
    </row>
    <row r="22">
      <c r="A22" s="3" t="inlineStr">
        <is>
          <t>Answers sheet</t>
        </is>
      </c>
    </row>
    <row r="23">
      <c r="A23" s="30" t="inlineStr">
        <is>
          <t>One row per saved answer to a common application question. Tag it with themes (comma-separated, e.g. 'culture, mission') so you can browse/reuse answers by theme across applications. Link to an application via Company + Role / Position. Shown as a popup when you click the '+' on that job entry in your website tracker.</t>
        </is>
      </c>
    </row>
  </sheetData>
  <mergeCells count="7">
    <mergeCell ref="A16:F16"/>
    <mergeCell ref="A10:F10"/>
    <mergeCell ref="A19:F19"/>
    <mergeCell ref="A13:F13"/>
    <mergeCell ref="A23:F23"/>
    <mergeCell ref="A4:F4"/>
    <mergeCell ref="A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2" sqref="A2:XFD3"/>
    </sheetView>
  </sheetViews>
  <sheetFormatPr baseColWidth="8" defaultRowHeight="14.5"/>
  <cols>
    <col width="20" customWidth="1" style="31" min="1" max="1"/>
    <col width="26" customWidth="1" style="31" min="2" max="2"/>
    <col width="40" customWidth="1" style="31" min="3" max="3"/>
    <col width="24" customWidth="1" style="31" min="4" max="4"/>
    <col width="60" customWidth="1" style="31" min="5" max="5"/>
  </cols>
  <sheetData>
    <row r="1" ht="22" customHeight="1" s="31">
      <c r="A1" s="1" t="inlineStr">
        <is>
          <t>Company</t>
        </is>
      </c>
      <c r="B1" s="1" t="inlineStr">
        <is>
          <t>Role / Position</t>
        </is>
      </c>
      <c r="C1" s="1" t="inlineStr">
        <is>
          <t>Question</t>
        </is>
      </c>
      <c r="D1" s="1" t="inlineStr">
        <is>
          <t>Tags</t>
        </is>
      </c>
      <c r="E1" s="1" t="inlineStr">
        <is>
          <t>Answer Text</t>
        </is>
      </c>
    </row>
    <row r="2" ht="60" customHeight="1" s="31">
      <c r="A2" s="4" t="inlineStr">
        <is>
          <t>Acme Analytics</t>
        </is>
      </c>
      <c r="B2" s="4" t="inlineStr">
        <is>
          <t>Graduate Data Analyst</t>
        </is>
      </c>
      <c r="C2" s="4" t="inlineStr">
        <is>
          <t>Why have you chosen to apply to Acme Analytics?</t>
        </is>
      </c>
      <c r="D2" s="4" t="inlineStr">
        <is>
          <t>mission, growth</t>
        </is>
      </c>
      <c r="E2" s="4" t="inlineStr">
        <is>
          <t>Acme's focus on using data to improve public transit access lines up with why I got into analytics in the first place - I want my work to have a visible, everyday impact.</t>
        </is>
      </c>
    </row>
    <row r="3" ht="60" customHeight="1" s="31">
      <c r="A3" s="4" t="inlineStr">
        <is>
          <t>Acme Analytics</t>
        </is>
      </c>
      <c r="B3" s="4" t="inlineStr">
        <is>
          <t>Graduate Data Analyst</t>
        </is>
      </c>
      <c r="C3" s="4" t="inlineStr">
        <is>
          <t>How &lt;company&gt; aligns with your personal aspirations?</t>
        </is>
      </c>
      <c r="D3" s="4" t="inlineStr">
        <is>
          <t>mission, culture, mentorship</t>
        </is>
      </c>
      <c r="E3" s="4" t="inlineStr">
        <is>
          <t>I'm looking for a graduate program with structured mentorship and rotational exposure across teams, which is exactly how Acme's program is set up.</t>
        </is>
      </c>
    </row>
    <row r="4">
      <c r="A4" s="5" t="n"/>
      <c r="B4" s="5" t="n"/>
      <c r="C4" s="5" t="n"/>
      <c r="D4" s="5" t="n"/>
      <c r="E4" s="5" t="n"/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</sheetData>
  <autoFilter ref="A1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2026-08-09T07:56:53Z</dcterms:created>
  <dcterms:modified xmlns:dcterms="http://purl.org/dc/terms/" xmlns:xsi="http://www.w3.org/2001/XMLSchema-instance" xsi:type="dcterms:W3CDTF">2026-09-12T11:31:26Z</dcterms:modified>
  <cp:lastModifiedBy>Eileen Ip</cp:lastModifiedBy>
</cp:coreProperties>
</file>