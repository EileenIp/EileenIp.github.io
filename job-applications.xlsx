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Qantas</t>
        </is>
      </c>
      <c r="B33" s="13" t="inlineStr">
        <is>
          <t>data &amp; analytics</t>
        </is>
      </c>
      <c r="C33" s="13" t="inlineStr">
        <is>
          <t>Graduate Program</t>
        </is>
      </c>
      <c r="D33" s="21" t="inlineStr">
        <is>
          <t>NSW</t>
        </is>
      </c>
      <c r="E33" s="13" t="n"/>
      <c r="F33" s="14" t="n">
        <v>46166</v>
      </c>
      <c r="G33" s="14" t="n">
        <v>46166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IF(AND(P36&lt;&gt;"",Q36&lt;&gt;""),Q36-P36,"")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3" s="13" t="n"/>
    </row>
    <row r="34" ht="18" customHeight="1" s="31">
      <c r="A34" s="13" t="inlineStr">
        <is>
          <t>RSM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VIC</t>
        </is>
      </c>
      <c r="E34" s="13" t="n"/>
      <c r="F34" s="14" t="n">
        <v>46103</v>
      </c>
      <c r="G34" s="14" t="n">
        <v>46102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4" t="n">
        <v>46419</v>
      </c>
      <c r="Q34" s="17" t="n"/>
      <c r="R34" s="18">
        <f>IF(AND(P37&lt;&gt;"",Q37&lt;&gt;""),Q37-P37,"")</f>
        <v/>
      </c>
      <c r="S34" s="13" t="n"/>
      <c r="T34" s="13" t="inlineStr">
        <is>
          <t>67-70k</t>
        </is>
      </c>
      <c r="U34" s="20" t="inlineStr">
        <is>
          <t>1-3</t>
        </is>
      </c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Insurance Risk &amp; Claims Analysis Dashboard, Bank Loan Application Tracking Dashboard, Credit Fraud Detection Classifier</t>
        </is>
      </c>
      <c r="AC34" s="13" t="n"/>
    </row>
    <row r="35" ht="18" customHeight="1" s="31">
      <c r="A35" s="13" t="inlineStr">
        <is>
          <t>amazon</t>
        </is>
      </c>
      <c r="B35" s="13" t="inlineStr">
        <is>
          <t>Graduate Brand Analyst,</t>
        </is>
      </c>
      <c r="C35" s="13" t="inlineStr">
        <is>
          <t>Graduate Program</t>
        </is>
      </c>
      <c r="D35" s="13" t="inlineStr">
        <is>
          <t>NSW</t>
        </is>
      </c>
      <c r="E35" s="13" t="n"/>
      <c r="F35" s="14" t="n">
        <v>46147</v>
      </c>
      <c r="G35" s="13" t="n"/>
      <c r="H35" s="13" t="inlineStr">
        <is>
          <t>Prosple</t>
        </is>
      </c>
      <c r="I35" s="13" t="n"/>
      <c r="J35" s="13" t="n"/>
      <c r="K35" s="13" t="n"/>
      <c r="L35" s="13" t="n"/>
      <c r="M35" s="13" t="n"/>
      <c r="N35" s="13" t="n"/>
      <c r="O35" s="13" t="n"/>
      <c r="P35" s="14" t="n">
        <v>46204</v>
      </c>
      <c r="Q35" s="17" t="n"/>
      <c r="R35" s="18">
        <f>IF(AND(P38&lt;&gt;"",Q38&lt;&gt;""),Q38-P38,"")</f>
        <v/>
      </c>
      <c r="S35" s="13" t="n"/>
      <c r="T35" s="13" t="n"/>
      <c r="U35" s="20" t="n"/>
      <c r="V35" s="13" t="n"/>
      <c r="W35" s="13" t="n"/>
      <c r="X35" s="13" t="n"/>
      <c r="Y35" s="13" t="n"/>
      <c r="Z35" s="13" t="n"/>
      <c r="AA35" s="13" t="n"/>
      <c r="AB35" s="13" t="n"/>
      <c r="AC35" s="13" t="n"/>
    </row>
    <row r="36" ht="18" customHeight="1" s="31">
      <c r="A36" s="13" t="inlineStr">
        <is>
          <t>anz</t>
        </is>
      </c>
      <c r="B36" s="13" t="n"/>
      <c r="C36" s="13" t="inlineStr">
        <is>
          <t>Graduate Program</t>
        </is>
      </c>
      <c r="D36" s="13" t="inlineStr">
        <is>
          <t>NSW</t>
        </is>
      </c>
      <c r="E36" s="13" t="n"/>
      <c r="F36" s="13" t="n"/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n"/>
      <c r="N36" s="13" t="n"/>
      <c r="O36" s="13" t="n"/>
      <c r="P36" s="13" t="n"/>
      <c r="Q36" s="17" t="n"/>
      <c r="R36" s="18">
        <f>IF(AND(P39&lt;&gt;"",Q39&lt;&gt;""),Q39-P39,"")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bcg</t>
        </is>
      </c>
      <c r="B37" s="13" t="inlineStr">
        <is>
          <t>consulting</t>
        </is>
      </c>
      <c r="C37" s="13" t="inlineStr">
        <is>
          <t>Graduate Program</t>
        </is>
      </c>
      <c r="D37" s="13" t="inlineStr">
        <is>
          <t>NSW</t>
        </is>
      </c>
      <c r="E37" s="13" t="n"/>
      <c r="F37" s="14" t="n">
        <v>46085</v>
      </c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n"/>
      <c r="N37" s="13" t="n"/>
      <c r="O37" s="13" t="n"/>
      <c r="P37" s="13" t="n"/>
      <c r="Q37" s="17" t="n"/>
      <c r="R37" s="18">
        <f>IF(AND(P40&lt;&gt;"",Q40&lt;&gt;""),Q40-P40,"")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bloomberg</t>
        </is>
      </c>
      <c r="B38" s="13" t="inlineStr">
        <is>
          <t>analytics &amp; sales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46266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4" t="inlineStr">
        <is>
          <t>1 Jan 2027-1 Sep 2027</t>
        </is>
      </c>
      <c r="Q38" s="17" t="n"/>
      <c r="R38" s="18">
        <f>IF(AND(P41&lt;&gt;"",Q41&lt;&gt;""),Q41-P41,"")</f>
        <v/>
      </c>
      <c r="S38" s="13" t="n"/>
      <c r="T38" s="13" t="inlineStr">
        <is>
          <t>75k-80k</t>
        </is>
      </c>
      <c r="U38" s="20" t="inlineStr">
        <is>
          <t>1-5</t>
        </is>
      </c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bmw</t>
        </is>
      </c>
      <c r="B39" s="13" t="inlineStr">
        <is>
          <t>product</t>
        </is>
      </c>
      <c r="C39" s="13" t="inlineStr">
        <is>
          <t>Graduate Program</t>
        </is>
      </c>
      <c r="D39" s="13" t="inlineStr">
        <is>
          <t>NSW</t>
        </is>
      </c>
      <c r="E39" s="13" t="n"/>
      <c r="F39" s="14" t="n">
        <v>46117</v>
      </c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3" t="n"/>
      <c r="Q39" s="17" t="n"/>
      <c r="R39" s="18">
        <f>IF(AND(P42&lt;&gt;"",Q42&lt;&gt;""),Q42-P42,"")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cisco</t>
        </is>
      </c>
      <c r="B40" s="13" t="inlineStr">
        <is>
          <t>business analyst</t>
        </is>
      </c>
      <c r="C40" s="13" t="inlineStr">
        <is>
          <t>Internship</t>
        </is>
      </c>
      <c r="D40" s="13" t="inlineStr">
        <is>
          <t>NSW</t>
        </is>
      </c>
      <c r="E40" s="13" t="n"/>
      <c r="F40" s="13" t="n"/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n"/>
      <c r="N40" s="13" t="n"/>
      <c r="O40" s="13" t="n"/>
      <c r="P40" s="13" t="n"/>
      <c r="Q40" s="17" t="n"/>
      <c r="R40" s="18">
        <f>IF(AND(P43&lt;&gt;"",Q43&lt;&gt;""),Q43-P43,"")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city of gold coast</t>
        </is>
      </c>
      <c r="B41" s="13" t="inlineStr">
        <is>
          <t>digital and data</t>
        </is>
      </c>
      <c r="C41" s="13" t="inlineStr">
        <is>
          <t>Graduate Program</t>
        </is>
      </c>
      <c r="D41" s="13" t="inlineStr">
        <is>
          <t>QLD</t>
        </is>
      </c>
      <c r="E41" s="13" t="n"/>
      <c r="F41" s="13" t="n"/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inlineStr">
        <is>
          <t>Withdrawn</t>
        </is>
      </c>
      <c r="N41" s="13" t="n"/>
      <c r="O41" s="13" t="n"/>
      <c r="P41" s="13" t="n"/>
      <c r="Q41" s="17" t="n"/>
      <c r="R41" s="18">
        <f>IF(AND(P44&lt;&gt;"",Q44&lt;&gt;""),Q44-P44,"")</f>
        <v/>
      </c>
      <c r="S41" s="13" t="n"/>
      <c r="T41" s="13" t="n"/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commbank</t>
        </is>
      </c>
      <c r="B42" s="13" t="inlineStr">
        <is>
          <t>tech ai engineering data science &amp; ai</t>
        </is>
      </c>
      <c r="C42" s="13" t="inlineStr">
        <is>
          <t>Internship</t>
        </is>
      </c>
      <c r="D42" s="13" t="inlineStr">
        <is>
          <t>VIC</t>
        </is>
      </c>
      <c r="E42" s="13" t="n"/>
      <c r="F42" s="13" t="n"/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inlineStr">
        <is>
          <t>Withdrawn</t>
        </is>
      </c>
      <c r="N42" s="13" t="n"/>
      <c r="O42" s="13" t="n"/>
      <c r="P42" s="14" t="n">
        <v>46349</v>
      </c>
      <c r="Q42" s="17" t="n"/>
      <c r="R42" s="18">
        <f>IF(AND(P45&lt;&gt;"",Q45&lt;&gt;""),Q45-P45,"")</f>
        <v/>
      </c>
      <c r="S42" s="13" t="n"/>
      <c r="T42" s="13" t="inlineStr">
        <is>
          <t>65k</t>
        </is>
      </c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eightcap</t>
        </is>
      </c>
      <c r="B43" s="13" t="inlineStr">
        <is>
          <t>operations analyst</t>
        </is>
      </c>
      <c r="C43" s="13" t="inlineStr">
        <is>
          <t>Graduate Program</t>
        </is>
      </c>
      <c r="D43" s="13" t="inlineStr">
        <is>
          <t>NSW</t>
        </is>
      </c>
      <c r="E43" s="13" t="n"/>
      <c r="F43" s="13" t="n"/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inlineStr">
        <is>
          <t>Withdrawn</t>
        </is>
      </c>
      <c r="N43" s="13" t="n"/>
      <c r="O43" s="13" t="n"/>
      <c r="P43" s="13" t="n"/>
      <c r="Q43" s="17" t="n"/>
      <c r="R43" s="18">
        <f>IF(AND(P48&lt;&gt;"",Q48&lt;&gt;""),Q48-P48,"")</f>
        <v/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fivecast</t>
        </is>
      </c>
      <c r="B44" s="13" t="inlineStr">
        <is>
          <t>data science</t>
        </is>
      </c>
      <c r="C44" s="13" t="inlineStr">
        <is>
          <t>Internship</t>
        </is>
      </c>
      <c r="D44" s="13" t="inlineStr">
        <is>
          <t>NSW</t>
        </is>
      </c>
      <c r="E44" s="13" t="n"/>
      <c r="F44" s="14" t="n">
        <v>46169</v>
      </c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n"/>
      <c r="N44" s="13" t="n"/>
      <c r="O44" s="13" t="n"/>
      <c r="P44" s="13" t="n"/>
      <c r="Q44" s="17" t="n"/>
      <c r="R44" s="18">
        <f>IF(AND(P50&lt;&gt;"",Q50&lt;&gt;""),Q50-P50,"")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flight centre</t>
        </is>
      </c>
      <c r="B45" s="13" t="n"/>
      <c r="C45" s="13" t="inlineStr">
        <is>
          <t>Graduate Program</t>
        </is>
      </c>
      <c r="D45" s="13" t="inlineStr">
        <is>
          <t>NSW</t>
        </is>
      </c>
      <c r="E45" s="13" t="n"/>
      <c r="F45" s="14" t="inlineStr">
        <is>
          <t>sep</t>
        </is>
      </c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n"/>
      <c r="N45" s="13" t="n"/>
      <c r="O45" s="13" t="n"/>
      <c r="P45" s="13" t="n"/>
      <c r="Q45" s="17" t="n"/>
      <c r="R45" s="18">
        <f>IF(AND(P51&lt;&gt;"",Q51&lt;&gt;""),Q51-P51,"")</f>
        <v/>
      </c>
      <c r="S45" s="13" t="n"/>
      <c r="T45" s="13" t="n"/>
      <c r="U45" s="20" t="n"/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FTI Consulting</t>
        </is>
      </c>
      <c r="B46" s="13" t="inlineStr">
        <is>
          <t>Data Analytics</t>
        </is>
      </c>
      <c r="C46" s="13" t="inlineStr">
        <is>
          <t>Internship</t>
        </is>
      </c>
      <c r="D46" s="13" t="inlineStr">
        <is>
          <t>NSW, WA</t>
        </is>
      </c>
      <c r="E46" s="13" t="n"/>
      <c r="F46" s="14" t="n">
        <v>46093</v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n"/>
      <c r="N46" s="13" t="n"/>
      <c r="O46" s="13" t="n"/>
      <c r="P46" s="14" t="inlineStr">
        <is>
          <t>4 May 2026 - 18 Jul 2026</t>
        </is>
      </c>
      <c r="Q46" s="17" t="n"/>
      <c r="R46" s="18">
        <f>IF(AND(P52&lt;&gt;"",Q52&lt;&gt;""),Q52-P52,"")</f>
        <v/>
      </c>
      <c r="S46" s="13" t="n"/>
      <c r="T46" s="13" t="inlineStr">
        <is>
          <t>36 / Hour</t>
        </is>
      </c>
      <c r="U46" s="20" t="inlineStr">
        <is>
          <t>2-4</t>
        </is>
      </c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fujitsu</t>
        </is>
      </c>
      <c r="B47" s="13" t="inlineStr">
        <is>
          <t>Business Analyst</t>
        </is>
      </c>
      <c r="C47" s="13" t="inlineStr">
        <is>
          <t>Graduate Program</t>
        </is>
      </c>
      <c r="D47" s="13" t="inlineStr">
        <is>
          <t>NSW</t>
        </is>
      </c>
      <c r="E47" s="13" t="n"/>
      <c r="F47" s="23" t="inlineStr">
        <is>
          <t>sep</t>
        </is>
      </c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n"/>
      <c r="N47" s="13" t="n"/>
      <c r="O47" s="13" t="n"/>
      <c r="P47" s="13" t="n"/>
      <c r="Q47" s="17" t="n"/>
      <c r="R47" s="18">
        <f>IF(AND(P53&lt;&gt;"",Q53&lt;&gt;""),Q53-P53,"")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21" t="inlineStr">
        <is>
          <t>general motors</t>
        </is>
      </c>
      <c r="B48" s="21" t="inlineStr">
        <is>
          <t>Service Operations Business</t>
        </is>
      </c>
      <c r="C48" s="21" t="inlineStr">
        <is>
          <t>Internship</t>
        </is>
      </c>
      <c r="D48" s="13" t="inlineStr">
        <is>
          <t>NSW</t>
        </is>
      </c>
      <c r="E48" s="13" t="n"/>
      <c r="F48" s="23" t="inlineStr">
        <is>
          <t>oct</t>
        </is>
      </c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n"/>
      <c r="N48" s="13" t="n"/>
      <c r="O48" s="13" t="n"/>
      <c r="P48" s="13" t="n"/>
      <c r="Q48" s="17" t="n"/>
      <c r="R48" s="18">
        <f>IF(AND(P54&lt;&gt;"",Q54&lt;&gt;""),Q54-P54,"")</f>
        <v/>
      </c>
      <c r="S48" s="13" t="n"/>
      <c r="T48" s="13" t="n"/>
      <c r="U48" s="20" t="n"/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hatch</t>
        </is>
      </c>
      <c r="B49" s="13" t="inlineStr">
        <is>
          <t>Analyst - Advisory</t>
        </is>
      </c>
      <c r="C49" s="13" t="inlineStr">
        <is>
          <t>Graduate Program</t>
        </is>
      </c>
      <c r="D49" s="13" t="inlineStr">
        <is>
          <t>NSW</t>
        </is>
      </c>
      <c r="E49" s="13" t="n"/>
      <c r="F49" s="13" t="n"/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IF(AND(P55&lt;&gt;"",Q55&lt;&gt;""),Q55-P55,"")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13" t="inlineStr">
        <is>
          <t>Heidi Health</t>
        </is>
      </c>
      <c r="B50" s="13" t="inlineStr">
        <is>
          <t>Strategy &amp; Data Intern</t>
        </is>
      </c>
      <c r="C50" s="13" t="inlineStr">
        <is>
          <t>Internship</t>
        </is>
      </c>
      <c r="D50" s="13" t="inlineStr">
        <is>
          <t>VIC</t>
        </is>
      </c>
      <c r="E50" s="13" t="n"/>
      <c r="F50" s="13" t="n"/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4" t="n">
        <v>46124</v>
      </c>
      <c r="Q50" s="17" t="n"/>
      <c r="R50" s="18">
        <f>IF(AND(P56&lt;&gt;"",Q56&lt;&gt;""),Q56-P56,"")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IMC</t>
        </is>
      </c>
      <c r="B51" s="13" t="inlineStr">
        <is>
          <t>quantitative research</t>
        </is>
      </c>
      <c r="C51" s="13" t="inlineStr">
        <is>
          <t>Internship</t>
        </is>
      </c>
      <c r="D51" s="13" t="inlineStr">
        <is>
          <t>NSW</t>
        </is>
      </c>
      <c r="E51" s="13" t="n"/>
      <c r="F51" s="14" t="n">
        <v>46203</v>
      </c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3" t="n"/>
      <c r="Q51" s="17" t="n"/>
      <c r="R51" s="18">
        <f>IF(AND(P57&lt;&gt;"",Q57&lt;&gt;""),Q57-P57,"")</f>
        <v/>
      </c>
      <c r="S51" s="13" t="n"/>
      <c r="T51" s="13" t="n"/>
      <c r="U51" s="20" t="n"/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jpmorganchase</t>
        </is>
      </c>
      <c r="B52" s="13" t="inlineStr">
        <is>
          <t>coporate analyst</t>
        </is>
      </c>
      <c r="C52" s="13" t="inlineStr">
        <is>
          <t>Graduate Program</t>
        </is>
      </c>
      <c r="D52" s="13" t="inlineStr">
        <is>
          <t>NSW</t>
        </is>
      </c>
      <c r="E52" s="13" t="n"/>
      <c r="F52" s="14" t="n">
        <v>46108</v>
      </c>
      <c r="G52" s="13" t="n"/>
      <c r="H52" s="13" t="inlineStr">
        <is>
          <t>Prosple</t>
        </is>
      </c>
      <c r="I52" s="13" t="n"/>
      <c r="J52" s="13" t="n"/>
      <c r="K52" s="13" t="n"/>
      <c r="L52" s="13" t="n"/>
      <c r="M52" s="13" t="n"/>
      <c r="N52" s="13" t="n"/>
      <c r="O52" s="13" t="n"/>
      <c r="P52" s="13" t="n"/>
      <c r="Q52" s="17" t="n"/>
      <c r="R52" s="18">
        <f>IF(AND(P58&lt;&gt;"",Q58&lt;&gt;""),Q58-P58,"")</f>
        <v/>
      </c>
      <c r="S52" s="13" t="n"/>
      <c r="T52" s="13" t="n"/>
      <c r="U52" s="20" t="n"/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KPMG</t>
        </is>
      </c>
      <c r="B53" s="13" t="inlineStr">
        <is>
          <t>Forensic Risk - Consulting</t>
        </is>
      </c>
      <c r="C53" s="13" t="inlineStr">
        <is>
          <t>Graduate Program</t>
        </is>
      </c>
      <c r="D53" s="13" t="inlineStr">
        <is>
          <t>QLD</t>
        </is>
      </c>
      <c r="E53" s="13" t="n"/>
      <c r="F53" s="14" t="n">
        <v>46091</v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4" t="n">
        <v>46426</v>
      </c>
      <c r="Q53" s="17" t="n"/>
      <c r="R53" s="18">
        <f>IF(AND(P59&lt;&gt;"",Q59&lt;&gt;""),Q59-P59,"")</f>
        <v/>
      </c>
      <c r="S53" s="13" t="n"/>
      <c r="T53" s="13" t="inlineStr">
        <is>
          <t>60k-82k</t>
        </is>
      </c>
      <c r="U53" s="20" t="inlineStr">
        <is>
          <t>1-700</t>
        </is>
      </c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13" t="inlineStr">
        <is>
          <t>loreal</t>
        </is>
      </c>
      <c r="B54" s="13" t="inlineStr">
        <is>
          <t>Management Trainee Program – Data &amp; Analytics Stream</t>
        </is>
      </c>
      <c r="C54" s="13" t="inlineStr">
        <is>
          <t>Graduate Program</t>
        </is>
      </c>
      <c r="D54" s="13" t="inlineStr">
        <is>
          <t>VIC</t>
        </is>
      </c>
      <c r="E54" s="13" t="n"/>
      <c r="F54" s="14" t="n">
        <v>46093</v>
      </c>
      <c r="G54" s="33" t="n">
        <v>46277</v>
      </c>
      <c r="H54" s="13" t="inlineStr">
        <is>
          <t>Prosple</t>
        </is>
      </c>
      <c r="I54" s="13" t="n"/>
      <c r="J54" s="13" t="n"/>
      <c r="K54" s="13" t="n"/>
      <c r="L54" s="13" t="n"/>
      <c r="M54" s="13" t="inlineStr">
        <is>
          <t>Applied</t>
        </is>
      </c>
      <c r="N54" s="13" t="n"/>
      <c r="O54" s="13" t="n"/>
      <c r="P54" s="14" t="n">
        <v>46416</v>
      </c>
      <c r="Q54" s="17" t="n"/>
      <c r="R54" s="18">
        <f>IF(AND(P60&lt;&gt;"",Q60&lt;&gt;""),Q60-P60,"")</f>
        <v/>
      </c>
      <c r="S54" s="13" t="n"/>
      <c r="T54" s="13" t="inlineStr">
        <is>
          <t>66k-75k</t>
        </is>
      </c>
      <c r="U54" s="20" t="inlineStr">
        <is>
          <t>1-3</t>
        </is>
      </c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McGrathNicol</t>
        </is>
      </c>
      <c r="B55" s="13" t="inlineStr">
        <is>
          <t>Data Analytics</t>
        </is>
      </c>
      <c r="C55" s="13" t="inlineStr">
        <is>
          <t>Graduate Program</t>
        </is>
      </c>
      <c r="D55" s="13" t="inlineStr">
        <is>
          <t>QLD</t>
        </is>
      </c>
      <c r="E55" s="13" t="n"/>
      <c r="F55" s="14" t="n">
        <v>46264</v>
      </c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4" t="n">
        <v>46440</v>
      </c>
      <c r="Q55" s="17" t="n"/>
      <c r="R55" s="18">
        <f>IF(AND(P61&lt;&gt;"",Q61&lt;&gt;""),Q61-P61,"")</f>
        <v/>
      </c>
      <c r="S55" s="13" t="n"/>
      <c r="T55" s="13" t="inlineStr">
        <is>
          <t>78k</t>
        </is>
      </c>
      <c r="U55" s="20" t="inlineStr">
        <is>
          <t>1-3</t>
        </is>
      </c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mckinsey &amp; company</t>
        </is>
      </c>
      <c r="B56" s="13" t="inlineStr">
        <is>
          <t>business analsyt</t>
        </is>
      </c>
      <c r="C56" s="13" t="inlineStr">
        <is>
          <t>Graduate Program</t>
        </is>
      </c>
      <c r="D56" s="13" t="inlineStr">
        <is>
          <t>NSW</t>
        </is>
      </c>
      <c r="E56" s="13" t="n"/>
      <c r="F56" s="14" t="n">
        <v>46075</v>
      </c>
      <c r="G56" s="13" t="n"/>
      <c r="H56" s="13" t="inlineStr">
        <is>
          <t>Prosple</t>
        </is>
      </c>
      <c r="I56" s="13" t="n"/>
      <c r="J56" s="13" t="n"/>
      <c r="K56" s="13" t="n"/>
      <c r="L56" s="13" t="n"/>
      <c r="M56" s="13" t="n"/>
      <c r="N56" s="13" t="n"/>
      <c r="O56" s="13" t="n"/>
      <c r="P56" s="13" t="n"/>
      <c r="Q56" s="17" t="n"/>
      <c r="R56" s="18">
        <f>IF(AND(P62&lt;&gt;"",Q62&lt;&gt;""),Q62-P62,"")</f>
        <v/>
      </c>
      <c r="S56" s="13" t="n"/>
      <c r="T56" s="13" t="n"/>
      <c r="U56" s="20" t="n"/>
      <c r="V56" s="13" t="n"/>
      <c r="W56" s="13" t="n"/>
      <c r="X56" s="13" t="n"/>
      <c r="Y56" s="13" t="n"/>
      <c r="Z56" s="13" t="n"/>
      <c r="AA56" s="13" t="n"/>
      <c r="AB56" s="13" t="n"/>
      <c r="AC56" s="13" t="n"/>
    </row>
    <row r="57" ht="15.75" customHeight="1" s="31">
      <c r="A57" s="13" t="inlineStr">
        <is>
          <t>mercedes benz</t>
        </is>
      </c>
      <c r="B57" s="13" t="inlineStr">
        <is>
          <t>performance &amp; Insights</t>
        </is>
      </c>
      <c r="C57" s="13" t="inlineStr">
        <is>
          <t>Internship</t>
        </is>
      </c>
      <c r="D57" s="13" t="inlineStr">
        <is>
          <t>NSW</t>
        </is>
      </c>
      <c r="E57" s="13" t="n"/>
      <c r="F57" s="14" t="inlineStr">
        <is>
          <t>oct</t>
        </is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3" t="n"/>
      <c r="Q57" s="17" t="n"/>
      <c r="R57" s="18">
        <f>IF(AND(P63&lt;&gt;"",Q63&lt;&gt;""),Q63-P63,"")</f>
        <v/>
      </c>
      <c r="S57" s="13" t="n"/>
      <c r="T57" s="13" t="n"/>
      <c r="U57" s="20" t="n"/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moody's corporation</t>
        </is>
      </c>
      <c r="B58" s="13" t="inlineStr">
        <is>
          <t>Predictive Analytics Intern</t>
        </is>
      </c>
      <c r="C58" s="13" t="inlineStr">
        <is>
          <t>Internship</t>
        </is>
      </c>
      <c r="D58" s="13" t="inlineStr">
        <is>
          <t>NSW</t>
        </is>
      </c>
      <c r="E58" s="13" t="n"/>
      <c r="F58" s="14" t="n">
        <v>46140</v>
      </c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IF(AND(P64&lt;&gt;"",Q64&lt;&gt;""),Q64-P64,"")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nab</t>
        </is>
      </c>
      <c r="B59" s="13" t="inlineStr">
        <is>
          <t>digital data and ai</t>
        </is>
      </c>
      <c r="C59" s="13" t="inlineStr">
        <is>
          <t>Internship</t>
        </is>
      </c>
      <c r="D59" s="13" t="inlineStr">
        <is>
          <t>VIC</t>
        </is>
      </c>
      <c r="E59" s="13" t="n"/>
      <c r="F59" s="14" t="n">
        <v>46243</v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4" t="n">
        <v>46349</v>
      </c>
      <c r="Q59" s="17" t="n"/>
      <c r="R59" s="18">
        <f>IF(AND(P65&lt;&gt;"",Q65&lt;&gt;""),Q65-P65,"")</f>
        <v/>
      </c>
      <c r="S59" s="13" t="n"/>
      <c r="T59" s="13" t="inlineStr">
        <is>
          <t>65-70k</t>
        </is>
      </c>
      <c r="U59" s="20" t="n"/>
      <c r="V59" s="13" t="n"/>
      <c r="W59" s="13" t="n"/>
      <c r="X59" s="13" t="n"/>
      <c r="Y59" s="13" t="n"/>
      <c r="Z59" s="13" t="n"/>
      <c r="AA59" s="13" t="inlineStr">
        <is>
          <t>NDIS Quality and Safeguards Commission Data Analyst Intern</t>
        </is>
      </c>
      <c r="AB59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59" s="13" t="n"/>
    </row>
    <row r="60" ht="15.75" customHeight="1" s="31">
      <c r="A60" s="13" t="inlineStr">
        <is>
          <t>nestle</t>
        </is>
      </c>
      <c r="B60" s="13" t="n"/>
      <c r="C60" s="13" t="inlineStr">
        <is>
          <t>Graduate Program</t>
        </is>
      </c>
      <c r="D60" s="13" t="inlineStr">
        <is>
          <t>NSW</t>
        </is>
      </c>
      <c r="E60" s="13" t="n"/>
      <c r="F60" s="14" t="inlineStr">
        <is>
          <t>june</t>
        </is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3" t="n"/>
      <c r="Q60" s="17" t="n"/>
      <c r="R60" s="18">
        <f>IF(AND(P66&lt;&gt;"",Q66&lt;&gt;""),Q66-P66,"")</f>
        <v/>
      </c>
      <c r="S60" s="13" t="n"/>
      <c r="T60" s="13" t="n"/>
      <c r="U60" s="20" t="n"/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NSW government</t>
        </is>
      </c>
      <c r="B61" s="13" t="inlineStr">
        <is>
          <t>Data analytics</t>
        </is>
      </c>
      <c r="C61" s="13" t="inlineStr">
        <is>
          <t>Graduate Program</t>
        </is>
      </c>
      <c r="D61" s="13" t="inlineStr">
        <is>
          <t>NSW</t>
        </is>
      </c>
      <c r="E61" s="13" t="n"/>
      <c r="F61" s="13" t="n"/>
      <c r="G61" s="13" t="n"/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3" t="n"/>
      <c r="Q61" s="17" t="n"/>
      <c r="R61" s="18">
        <f>IF(AND(P67&lt;&gt;"",Q67&lt;&gt;""),Q67-P67,"")</f>
        <v/>
      </c>
      <c r="S61" s="13" t="n"/>
      <c r="T61" s="13" t="n"/>
      <c r="U61" s="20" t="n"/>
      <c r="V61" s="13" t="n"/>
      <c r="W61" s="13" t="n"/>
      <c r="X61" s="13" t="n"/>
      <c r="Y61" s="13" t="n"/>
      <c r="Z61" s="13" t="n"/>
      <c r="AA61" s="13" t="n"/>
      <c r="AB61" s="13" t="n"/>
      <c r="AC61" s="13" t="n"/>
    </row>
    <row r="62" ht="15.75" customHeight="1" s="31">
      <c r="A62" s="13" t="inlineStr">
        <is>
          <t>nti</t>
        </is>
      </c>
      <c r="B62" s="13" t="inlineStr">
        <is>
          <t xml:space="preserve">Graduate Business Analyst - IT </t>
        </is>
      </c>
      <c r="C62" s="13" t="inlineStr">
        <is>
          <t>Graduate Program</t>
        </is>
      </c>
      <c r="D62" s="13" t="inlineStr">
        <is>
          <t>NSW</t>
        </is>
      </c>
      <c r="E62" s="13" t="n"/>
      <c r="F62" s="14" t="inlineStr">
        <is>
          <t>jun</t>
        </is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IF(AND(P68&lt;&gt;"",Q68&lt;&gt;""),Q68-P68,"")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>optiver</t>
        </is>
      </c>
      <c r="B63" s="13" t="inlineStr">
        <is>
          <t>quantitative research</t>
        </is>
      </c>
      <c r="C63" s="13" t="inlineStr">
        <is>
          <t>Graduate Program</t>
        </is>
      </c>
      <c r="D63" s="13" t="inlineStr">
        <is>
          <t>NSW</t>
        </is>
      </c>
      <c r="E63" s="13" t="n"/>
      <c r="F63" s="14" t="n">
        <v>46122</v>
      </c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IF(AND(P70&lt;&gt;"",Q70&lt;&gt;""),Q70-P70,"")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origin</t>
        </is>
      </c>
      <c r="B64" s="13" t="inlineStr">
        <is>
          <t>business analyst</t>
        </is>
      </c>
      <c r="C64" s="13" t="inlineStr">
        <is>
          <t>Graduate Program</t>
        </is>
      </c>
      <c r="D64" s="13" t="inlineStr">
        <is>
          <t>NSW</t>
        </is>
      </c>
      <c r="E64" s="13" t="n"/>
      <c r="F64" s="14" t="n">
        <v>46166</v>
      </c>
      <c r="G64" s="14" t="n">
        <v>46166</v>
      </c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IF(AND(P71&lt;&gt;"",Q71&lt;&gt;""),Q71-P71,"")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inlineStr">
        <is>
          <t>NDIS Quality and Safeguards Commission Data Analyst Intern</t>
        </is>
      </c>
      <c r="AB64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64" s="13" t="n"/>
    </row>
    <row r="65" ht="15.75" customHeight="1" s="31">
      <c r="A65" s="13" t="inlineStr">
        <is>
          <t>QBE Insurance</t>
        </is>
      </c>
      <c r="B65" s="13" t="inlineStr">
        <is>
          <t>data analytics</t>
        </is>
      </c>
      <c r="C65" s="13" t="inlineStr">
        <is>
          <t>Internship</t>
        </is>
      </c>
      <c r="D65" s="13" t="inlineStr">
        <is>
          <t>NSW</t>
        </is>
      </c>
      <c r="E65" s="13" t="n"/>
      <c r="F65" s="14" t="n">
        <v>46253</v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3" t="n"/>
      <c r="Q65" s="17" t="n"/>
      <c r="R65" s="18">
        <f>IF(AND(P72&lt;&gt;"",Q72&lt;&gt;""),Q72-P72,"")</f>
        <v/>
      </c>
      <c r="S65" s="13" t="n"/>
      <c r="T65" s="13" t="n"/>
      <c r="U65" s="20" t="n"/>
      <c r="V65" s="13" t="n"/>
      <c r="W65" s="13" t="n"/>
      <c r="X65" s="13" t="n"/>
      <c r="Y65" s="13" t="n"/>
      <c r="Z65" s="13" t="n"/>
      <c r="AA65" s="13" t="n"/>
      <c r="AB65" s="13" t="n"/>
      <c r="AC65" s="13" t="n"/>
    </row>
    <row r="66" ht="15.75" customHeight="1" s="31">
      <c r="A66" s="13" t="inlineStr">
        <is>
          <t xml:space="preserve">queensland government digital </t>
        </is>
      </c>
      <c r="B66" s="13" t="inlineStr">
        <is>
          <t>Data analytics</t>
        </is>
      </c>
      <c r="C66" s="13" t="inlineStr">
        <is>
          <t>Graduate School</t>
        </is>
      </c>
      <c r="D66" s="13" t="inlineStr">
        <is>
          <t>QLD</t>
        </is>
      </c>
      <c r="E66" s="13" t="n"/>
      <c r="F66" s="13" t="n"/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IF(AND(P73&lt;&gt;"",Q73&lt;&gt;""),Q73-P73,"")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shell</t>
        </is>
      </c>
      <c r="B67" s="13" t="inlineStr">
        <is>
          <t>business analyst</t>
        </is>
      </c>
      <c r="C67" s="13" t="inlineStr">
        <is>
          <t>Graduate Program</t>
        </is>
      </c>
      <c r="D67" s="13" t="inlineStr">
        <is>
          <t>NSW</t>
        </is>
      </c>
      <c r="E67" s="13" t="n"/>
      <c r="F67" s="14" t="inlineStr">
        <is>
          <t>sep</t>
        </is>
      </c>
      <c r="G67" s="13" t="n"/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IF(AND(P74&lt;&gt;"",Q74&lt;&gt;""),Q74-P74,"")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n"/>
      <c r="AB67" s="13" t="n"/>
      <c r="AC67" s="13" t="n"/>
    </row>
    <row r="68" ht="15.75" customHeight="1" s="31">
      <c r="A68" s="13" t="inlineStr">
        <is>
          <t>sportsbet</t>
        </is>
      </c>
      <c r="B68" s="13" t="inlineStr">
        <is>
          <t xml:space="preserve">Graduate Data Scientist Risk &amp; Pricing </t>
        </is>
      </c>
      <c r="C68" s="13" t="inlineStr">
        <is>
          <t>Graduate Program</t>
        </is>
      </c>
      <c r="D68" s="13" t="inlineStr">
        <is>
          <t>NSW</t>
        </is>
      </c>
      <c r="E68" s="13" t="n"/>
      <c r="F68" s="14" t="n">
        <v>46264</v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3" t="n"/>
      <c r="Q68" s="17" t="n"/>
      <c r="R68" s="18">
        <f>IF(AND(P75&lt;&gt;"",Q75&lt;&gt;""),Q75-P75,"")</f>
        <v/>
      </c>
      <c r="S68" s="13" t="n"/>
      <c r="T68" s="13" t="n"/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>Spotlight Retail Group (SRG)</t>
        </is>
      </c>
      <c r="B69" s="13" t="inlineStr">
        <is>
          <t xml:space="preserve">CRM &amp; Loyalty Analyst </t>
        </is>
      </c>
      <c r="C69" s="13" t="inlineStr">
        <is>
          <t>Full-time</t>
        </is>
      </c>
      <c r="D69" s="13" t="inlineStr">
        <is>
          <t>NSW</t>
        </is>
      </c>
      <c r="E69" s="13" t="n"/>
      <c r="F69" s="13" t="n"/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IF(AND(P76&lt;&gt;"",Q76&lt;&gt;""),Q76-P76,"")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streem</t>
        </is>
      </c>
      <c r="B70" s="13" t="inlineStr">
        <is>
          <t>Junior Media Analyst - Remote</t>
        </is>
      </c>
      <c r="C70" s="13" t="inlineStr">
        <is>
          <t>Full-time</t>
        </is>
      </c>
      <c r="D70" s="13" t="inlineStr">
        <is>
          <t>Remote</t>
        </is>
      </c>
      <c r="E70" s="13" t="n"/>
      <c r="F70" s="13" t="n"/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IF(AND(P77&lt;&gt;"",Q77&lt;&gt;""),Q77-P77,"")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suncorp</t>
        </is>
      </c>
      <c r="B71" s="13" t="n"/>
      <c r="C71" s="13" t="inlineStr">
        <is>
          <t>Graduate Program</t>
        </is>
      </c>
      <c r="D71" s="13" t="inlineStr">
        <is>
          <t>NSW</t>
        </is>
      </c>
      <c r="E71" s="13" t="n"/>
      <c r="F71" s="14" t="inlineStr">
        <is>
          <t>aug</t>
        </is>
      </c>
      <c r="G71" s="13" t="n"/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IF(AND(P78&lt;&gt;"",Q78&lt;&gt;""),Q78-P78,"")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n"/>
      <c r="AB71" s="13" t="n"/>
      <c r="AC71" s="13" t="n"/>
    </row>
    <row r="72" ht="15.75" customHeight="1" s="31">
      <c r="A72" s="13" t="inlineStr">
        <is>
          <t>ventia</t>
        </is>
      </c>
      <c r="B72" s="13" t="inlineStr">
        <is>
          <t>data science &amp; analysics graduate</t>
        </is>
      </c>
      <c r="C72" s="13" t="inlineStr">
        <is>
          <t>Graduate Program</t>
        </is>
      </c>
      <c r="D72" s="13" t="inlineStr">
        <is>
          <t>QLD</t>
        </is>
      </c>
      <c r="E72" s="13" t="n"/>
      <c r="F72" s="14" t="n">
        <v>46250</v>
      </c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4" t="n">
        <v>46047</v>
      </c>
      <c r="Q72" s="17" t="n"/>
      <c r="R72" s="18">
        <f>IF(AND(P79&lt;&gt;"",Q79&lt;&gt;""),Q79-P79,"")</f>
        <v/>
      </c>
      <c r="S72" s="13" t="n"/>
      <c r="T72" s="13" t="inlineStr">
        <is>
          <t>70-80k</t>
        </is>
      </c>
      <c r="U72" s="20" t="n"/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>Visa</t>
        </is>
      </c>
      <c r="B73" s="13" t="inlineStr">
        <is>
          <t>data science consulting</t>
        </is>
      </c>
      <c r="C73" s="13" t="inlineStr">
        <is>
          <t>Graduate Program</t>
        </is>
      </c>
      <c r="D73" s="13" t="inlineStr">
        <is>
          <t>NSW</t>
        </is>
      </c>
      <c r="E73" s="13" t="n"/>
      <c r="F73" s="13" t="n"/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3" t="n"/>
      <c r="Q73" s="17" t="n"/>
      <c r="R73" s="18">
        <f>IF(AND(P80&lt;&gt;"",Q80&lt;&gt;""),Q80-P80,"")</f>
        <v/>
      </c>
      <c r="S73" s="13" t="n"/>
      <c r="T73" s="13" t="n"/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visagio</t>
        </is>
      </c>
      <c r="B74" s="13" t="inlineStr">
        <is>
          <t>data &amp; analytics consultant</t>
        </is>
      </c>
      <c r="C74" s="13" t="inlineStr">
        <is>
          <t>Graduate Program</t>
        </is>
      </c>
      <c r="D74" s="13" t="inlineStr">
        <is>
          <t>NSW</t>
        </is>
      </c>
      <c r="E74" s="13" t="n"/>
      <c r="F74" s="14" t="n">
        <v>46105</v>
      </c>
      <c r="G74" s="13" t="n"/>
      <c r="H74" s="13" t="inlineStr">
        <is>
          <t>Prosple</t>
        </is>
      </c>
      <c r="I74" s="13" t="n"/>
      <c r="J74" s="13" t="n"/>
      <c r="K74" s="13" t="n"/>
      <c r="L74" s="13" t="n"/>
      <c r="M74" s="13" t="n"/>
      <c r="N74" s="13" t="n"/>
      <c r="O74" s="13" t="n"/>
      <c r="P74" s="13" t="n"/>
      <c r="Q74" s="17" t="n"/>
      <c r="R74" s="18">
        <f>IF(AND(P81&lt;&gt;"",Q81&lt;&gt;""),Q81-P81,"")</f>
        <v/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Vistar Media</t>
        </is>
      </c>
      <c r="B75" s="13" t="inlineStr">
        <is>
          <t xml:space="preserve">Analytics Associate </t>
        </is>
      </c>
      <c r="C75" s="13" t="inlineStr">
        <is>
          <t>Full-time</t>
        </is>
      </c>
      <c r="D75" s="13" t="inlineStr">
        <is>
          <t>NSW</t>
        </is>
      </c>
      <c r="E75" s="13" t="n"/>
      <c r="F75" s="13" t="n"/>
      <c r="G75" s="13" t="n"/>
      <c r="H75" s="13" t="inlineStr">
        <is>
          <t>Prosple</t>
        </is>
      </c>
      <c r="I75" s="13" t="n"/>
      <c r="J75" s="13" t="n"/>
      <c r="K75" s="13" t="n"/>
      <c r="L75" s="13" t="n"/>
      <c r="M75" s="13" t="n"/>
      <c r="N75" s="13" t="n"/>
      <c r="O75" s="13" t="n"/>
      <c r="P75" s="13" t="n"/>
      <c r="Q75" s="17" t="n"/>
      <c r="R75" s="18">
        <f>IF(AND(P82&lt;&gt;"",Q82&lt;&gt;""),Q82-P82,"")</f>
        <v/>
      </c>
      <c r="S75" s="13" t="n"/>
      <c r="T75" s="13" t="n"/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Westpac</t>
        </is>
      </c>
      <c r="B76" s="13" t="inlineStr">
        <is>
          <t>Technology (Data)</t>
        </is>
      </c>
      <c r="C76" s="13" t="inlineStr">
        <is>
          <t>Graduate Program</t>
        </is>
      </c>
      <c r="D76" s="13" t="inlineStr">
        <is>
          <t>NSW</t>
        </is>
      </c>
      <c r="E76" s="13" t="n"/>
      <c r="F76" s="14" t="n">
        <v>46248</v>
      </c>
      <c r="G76" s="13" t="n"/>
      <c r="H76" s="13" t="inlineStr">
        <is>
          <t>Prosple</t>
        </is>
      </c>
      <c r="I76" s="13" t="n"/>
      <c r="J76" s="13" t="n"/>
      <c r="K76" s="13" t="n"/>
      <c r="L76" s="13" t="n"/>
      <c r="M76" s="13" t="n"/>
      <c r="N76" s="13" t="n"/>
      <c r="O76" s="13" t="n"/>
      <c r="P76" s="14" t="inlineStr">
        <is>
          <t>1 Feb 2027 - 28 Feb 2027</t>
        </is>
      </c>
      <c r="Q76" s="17" t="n"/>
      <c r="R76" s="18">
        <f>IF(AND(P83&lt;&gt;"",Q83&lt;&gt;""),Q83-P83,"")</f>
        <v/>
      </c>
      <c r="S76" s="13" t="n"/>
      <c r="T76" s="13" t="inlineStr">
        <is>
          <t>80k-90k</t>
        </is>
      </c>
      <c r="U76" s="20" t="inlineStr">
        <is>
          <t>1-100</t>
        </is>
      </c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westpac</t>
        </is>
      </c>
      <c r="B77" s="13" t="inlineStr">
        <is>
          <t>data digital ai</t>
        </is>
      </c>
      <c r="C77" s="13" t="inlineStr">
        <is>
          <t>Graduate Program</t>
        </is>
      </c>
      <c r="D77" s="13" t="inlineStr">
        <is>
          <t>QLD</t>
        </is>
      </c>
      <c r="E77" s="13" t="n"/>
      <c r="F77" s="14" t="n">
        <v>46248</v>
      </c>
      <c r="G77" s="13" t="n"/>
      <c r="H77" s="13" t="inlineStr">
        <is>
          <t>Prosple</t>
        </is>
      </c>
      <c r="I77" s="13" t="n"/>
      <c r="J77" s="13" t="n"/>
      <c r="K77" s="13" t="n"/>
      <c r="L77" s="13" t="n"/>
      <c r="M77" s="13" t="n"/>
      <c r="N77" s="13" t="n"/>
      <c r="O77" s="13" t="n"/>
      <c r="P77" s="14" t="n">
        <v>46068</v>
      </c>
      <c r="Q77" s="17" t="n"/>
      <c r="R77" s="18">
        <f>IF(AND(P84&lt;&gt;"",Q84&lt;&gt;""),Q84-P84,"")</f>
        <v/>
      </c>
      <c r="S77" s="13" t="n"/>
      <c r="T77" s="13" t="inlineStr">
        <is>
          <t>80-90k</t>
        </is>
      </c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evolution mining</t>
        </is>
      </c>
      <c r="B78" s="13" t="inlineStr">
        <is>
          <t>people and culture</t>
        </is>
      </c>
      <c r="C78" s="13" t="inlineStr">
        <is>
          <t>Internship</t>
        </is>
      </c>
      <c r="D78" s="13" t="inlineStr">
        <is>
          <t>NSW</t>
        </is>
      </c>
      <c r="E78" s="13" t="n"/>
      <c r="F78" s="13" t="n"/>
      <c r="G78" s="14" t="n">
        <v>46096</v>
      </c>
      <c r="H78" s="13" t="inlineStr">
        <is>
          <t>Prosple</t>
        </is>
      </c>
      <c r="I78" s="13" t="n"/>
      <c r="J78" s="13" t="inlineStr">
        <is>
          <t>Yes</t>
        </is>
      </c>
      <c r="K78" s="13" t="n"/>
      <c r="L78" s="13" t="n"/>
      <c r="M78" s="13" t="inlineStr">
        <is>
          <t>Applied</t>
        </is>
      </c>
      <c r="N78" s="13" t="n"/>
      <c r="O78" s="13" t="n"/>
      <c r="P78" s="14" t="inlineStr">
        <is>
          <t>12/1/2026 - 12/31/2026</t>
        </is>
      </c>
      <c r="Q78" s="17" t="n"/>
      <c r="R78" s="28" t="inlineStr">
        <is>
          <t>12 weeks</t>
        </is>
      </c>
      <c r="S78" s="13" t="n"/>
      <c r="T78" s="13" t="n"/>
      <c r="U78" s="20" t="n"/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suncorp</t>
        </is>
      </c>
      <c r="B79" s="13" t="inlineStr">
        <is>
          <t>business analysis non technical</t>
        </is>
      </c>
      <c r="C79" s="13" t="inlineStr">
        <is>
          <t>Internship</t>
        </is>
      </c>
      <c r="D79" s="13" t="inlineStr">
        <is>
          <t>QLD</t>
        </is>
      </c>
      <c r="E79" s="13" t="n"/>
      <c r="F79" s="13" t="n"/>
      <c r="G79" s="14" t="n">
        <v>46096</v>
      </c>
      <c r="H79" s="13" t="inlineStr">
        <is>
          <t>Prosple</t>
        </is>
      </c>
      <c r="I79" s="13" t="n"/>
      <c r="J79" s="13" t="inlineStr">
        <is>
          <t>Yes</t>
        </is>
      </c>
      <c r="K79" s="13" t="inlineStr">
        <is>
          <t>yes</t>
        </is>
      </c>
      <c r="L79" s="13" t="n"/>
      <c r="M79" s="13" t="inlineStr">
        <is>
          <t>Finished Assessment</t>
        </is>
      </c>
      <c r="N79" s="13" t="n"/>
      <c r="O79" s="13" t="n"/>
      <c r="P79" s="14" t="n">
        <v>46350</v>
      </c>
      <c r="Q79" s="17" t="n">
        <v>46430</v>
      </c>
      <c r="R79" s="28" t="inlineStr">
        <is>
          <t>12 weeks</t>
        </is>
      </c>
      <c r="S79" s="13" t="n"/>
      <c r="T79" s="13" t="n">
        <v>37.92</v>
      </c>
      <c r="U79" s="20" t="n"/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ARUP</t>
        </is>
      </c>
      <c r="B80" s="13" t="inlineStr">
        <is>
          <t>digital advisory</t>
        </is>
      </c>
      <c r="C80" s="13" t="inlineStr">
        <is>
          <t>Internship</t>
        </is>
      </c>
      <c r="D80" s="13" t="inlineStr">
        <is>
          <t>Hong Kong</t>
        </is>
      </c>
      <c r="E80" s="13" t="n"/>
      <c r="F80" s="13" t="n"/>
      <c r="G80" s="14" t="n">
        <v>46096</v>
      </c>
      <c r="H80" s="13" t="inlineStr">
        <is>
          <t>Prosple</t>
        </is>
      </c>
      <c r="I80" s="13" t="n"/>
      <c r="J80" s="13" t="inlineStr">
        <is>
          <t>Yes</t>
        </is>
      </c>
      <c r="K80" s="13" t="n"/>
      <c r="L80" s="13" t="n"/>
      <c r="M80" s="13" t="inlineStr">
        <is>
          <t>Applied</t>
        </is>
      </c>
      <c r="N80" s="13" t="n"/>
      <c r="O80" s="13" t="n"/>
      <c r="P80" s="14" t="n">
        <v>46349</v>
      </c>
      <c r="Q80" s="17" t="n"/>
      <c r="R80" s="28" t="inlineStr">
        <is>
          <t>12 weeks</t>
        </is>
      </c>
      <c r="S80" s="13" t="n"/>
      <c r="T80" s="13" t="inlineStr">
        <is>
          <t>34-35</t>
        </is>
      </c>
      <c r="U80" s="20" t="inlineStr">
        <is>
          <t>1</t>
        </is>
      </c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APA</t>
        </is>
      </c>
      <c r="B81" s="13" t="inlineStr">
        <is>
          <t>data &amp; AI Governance</t>
        </is>
      </c>
      <c r="C81" s="13" t="inlineStr">
        <is>
          <t>Internship</t>
        </is>
      </c>
      <c r="D81" s="13" t="inlineStr">
        <is>
          <t>VIC</t>
        </is>
      </c>
      <c r="E81" s="13" t="n"/>
      <c r="F81" s="13" t="n"/>
      <c r="G81" s="14" t="n">
        <v>46096</v>
      </c>
      <c r="H81" s="13" t="inlineStr">
        <is>
          <t>Prosple</t>
        </is>
      </c>
      <c r="I81" s="13" t="n"/>
      <c r="J81" s="13" t="n"/>
      <c r="K81" s="13" t="n"/>
      <c r="L81" s="13" t="n"/>
      <c r="M81" s="13" t="inlineStr">
        <is>
          <t>Applied</t>
        </is>
      </c>
      <c r="N81" s="13" t="n"/>
      <c r="O81" s="13" t="n"/>
      <c r="P81" s="24" t="n">
        <v>46356</v>
      </c>
      <c r="Q81" s="17" t="n"/>
      <c r="R81" s="28" t="inlineStr">
        <is>
          <t>12 weeks</t>
        </is>
      </c>
      <c r="S81" s="13" t="n"/>
      <c r="T81" s="13" t="n"/>
      <c r="U81" s="20" t="n"/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Rheinmetall</t>
        </is>
      </c>
      <c r="B82" s="13" t="inlineStr">
        <is>
          <t>data analytics</t>
        </is>
      </c>
      <c r="C82" s="13" t="inlineStr">
        <is>
          <t>Internship</t>
        </is>
      </c>
      <c r="D82" s="13" t="inlineStr">
        <is>
          <t>VIC</t>
        </is>
      </c>
      <c r="E82" s="13" t="n"/>
      <c r="F82" s="13" t="n"/>
      <c r="G82" s="14" t="n">
        <v>46096</v>
      </c>
      <c r="H82" s="13" t="inlineStr">
        <is>
          <t>Prosple</t>
        </is>
      </c>
      <c r="I82" s="13" t="n"/>
      <c r="J82" s="13" t="inlineStr">
        <is>
          <t>Yes</t>
        </is>
      </c>
      <c r="K82" s="13" t="n"/>
      <c r="L82" s="13" t="n"/>
      <c r="M82" s="13" t="inlineStr">
        <is>
          <t>Applied</t>
        </is>
      </c>
      <c r="N82" s="13" t="n"/>
      <c r="O82" s="13" t="n"/>
      <c r="P82" s="24" t="n">
        <v>46349</v>
      </c>
      <c r="Q82" s="17" t="n">
        <v>46437</v>
      </c>
      <c r="R82" s="28" t="inlineStr">
        <is>
          <t>12 weeks</t>
        </is>
      </c>
      <c r="S82" s="13" t="n"/>
      <c r="T82" s="13" t="inlineStr">
        <is>
          <t>36 or 66000</t>
        </is>
      </c>
      <c r="U82" s="20" t="inlineStr">
        <is>
          <t>5-6</t>
        </is>
      </c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13" t="inlineStr">
        <is>
          <t>grant thornton</t>
        </is>
      </c>
      <c r="B83" s="13" t="inlineStr">
        <is>
          <t>business consulting</t>
        </is>
      </c>
      <c r="C83" s="13" t="inlineStr">
        <is>
          <t>Internship</t>
        </is>
      </c>
      <c r="D83" s="13" t="inlineStr">
        <is>
          <t>VIC</t>
        </is>
      </c>
      <c r="E83" s="13" t="n"/>
      <c r="F83" s="13" t="n"/>
      <c r="G83" s="14" t="n">
        <v>46096</v>
      </c>
      <c r="H83" s="13" t="inlineStr">
        <is>
          <t>Prosple</t>
        </is>
      </c>
      <c r="I83" s="13" t="n"/>
      <c r="J83" s="13" t="n"/>
      <c r="K83" s="13" t="n"/>
      <c r="L83" s="13" t="n"/>
      <c r="M83" s="13" t="inlineStr">
        <is>
          <t>Applied</t>
        </is>
      </c>
      <c r="N83" s="13" t="n"/>
      <c r="O83" s="13" t="n"/>
      <c r="P83" s="27" t="inlineStr">
        <is>
          <t>11/16/2026 - 18 jan 2027</t>
        </is>
      </c>
      <c r="Q83" s="17" t="n"/>
      <c r="R83" s="28" t="inlineStr">
        <is>
          <t>4-6 weeks</t>
        </is>
      </c>
      <c r="S83" s="13" t="n"/>
      <c r="T83" s="13" t="n">
        <v>278</v>
      </c>
      <c r="U83" s="20" t="inlineStr">
        <is>
          <t>1-10</t>
        </is>
      </c>
      <c r="V83" s="13" t="n"/>
      <c r="W83" s="13" t="n"/>
      <c r="X83" s="13" t="n"/>
      <c r="Y83" s="13" t="n"/>
      <c r="Z83" s="13" t="n"/>
      <c r="AA83" s="13" t="n"/>
      <c r="AB83" s="13" t="n"/>
      <c r="AC83" s="13" t="n"/>
    </row>
    <row r="84" ht="15.75" customHeight="1" s="31">
      <c r="A84" s="13" t="inlineStr">
        <is>
          <t>nab</t>
        </is>
      </c>
      <c r="B84" s="13" t="inlineStr">
        <is>
          <t>digital data and ai</t>
        </is>
      </c>
      <c r="C84" s="13" t="inlineStr">
        <is>
          <t>Internship</t>
        </is>
      </c>
      <c r="D84" s="13" t="inlineStr">
        <is>
          <t>VIC</t>
        </is>
      </c>
      <c r="E84" s="13" t="n"/>
      <c r="F84" s="13" t="n"/>
      <c r="G84" s="14" t="n">
        <v>46096</v>
      </c>
      <c r="H84" s="13" t="inlineStr">
        <is>
          <t>Prosple</t>
        </is>
      </c>
      <c r="I84" s="13" t="n"/>
      <c r="J84" s="13" t="n"/>
      <c r="K84" s="13" t="n"/>
      <c r="L84" s="13" t="n"/>
      <c r="M84" s="13" t="inlineStr">
        <is>
          <t>Rejected</t>
        </is>
      </c>
      <c r="N84" s="13" t="n"/>
      <c r="O84" s="13" t="n"/>
      <c r="P84" s="24" t="n">
        <v>46349</v>
      </c>
      <c r="Q84" s="17" t="n"/>
      <c r="R84" s="28" t="inlineStr">
        <is>
          <t>8 weeks</t>
        </is>
      </c>
      <c r="S84" s="13" t="n"/>
      <c r="T84" s="13" t="inlineStr">
        <is>
          <t>65000-70000</t>
        </is>
      </c>
      <c r="U84" s="20" t="inlineStr">
        <is>
          <t>1-4</t>
        </is>
      </c>
      <c r="V84" s="13" t="n"/>
      <c r="W84" s="13" t="n"/>
      <c r="X84" s="13" t="n"/>
      <c r="Y84" s="13" t="n"/>
      <c r="Z84" s="13" t="n"/>
      <c r="AA84" s="13" t="n"/>
      <c r="AB84" s="13" t="n"/>
      <c r="AC84" s="13" t="n"/>
    </row>
    <row r="85" ht="15.75" customHeight="1" s="31">
      <c r="A85" s="13" t="inlineStr">
        <is>
          <t>AECOM</t>
        </is>
      </c>
      <c r="B85" s="13" t="inlineStr">
        <is>
          <t>project management</t>
        </is>
      </c>
      <c r="C85" s="13" t="inlineStr">
        <is>
          <t>Internship</t>
        </is>
      </c>
      <c r="D85" s="13" t="inlineStr">
        <is>
          <t>VIC</t>
        </is>
      </c>
      <c r="E85" s="13" t="n"/>
      <c r="F85" s="13" t="n"/>
      <c r="G85" s="14" t="n">
        <v>46096</v>
      </c>
      <c r="H85" s="13" t="inlineStr">
        <is>
          <t>Prosple</t>
        </is>
      </c>
      <c r="I85" s="13" t="n"/>
      <c r="J85" s="13" t="n"/>
      <c r="K85" s="13" t="n"/>
      <c r="L85" s="13" t="n"/>
      <c r="M85" s="13" t="inlineStr">
        <is>
          <t>Applied</t>
        </is>
      </c>
      <c r="N85" s="13" t="n"/>
      <c r="O85" s="13" t="n"/>
      <c r="P85" s="24" t="n">
        <v>46342</v>
      </c>
      <c r="Q85" s="17" t="n"/>
      <c r="R85" s="28" t="inlineStr">
        <is>
          <t>12 weeks</t>
        </is>
      </c>
      <c r="S85" s="13" t="n"/>
      <c r="T85" s="13" t="n">
        <v>38</v>
      </c>
      <c r="U85" s="20" t="inlineStr">
        <is>
          <t>1-5</t>
        </is>
      </c>
      <c r="V85" s="13" t="n"/>
      <c r="W85" s="13" t="n"/>
      <c r="X85" s="13" t="n"/>
      <c r="Y85" s="13" t="n"/>
      <c r="Z85" s="13" t="n"/>
      <c r="AA85" s="13" t="n"/>
      <c r="AB85" s="13" t="n"/>
      <c r="AC85" s="13" t="n"/>
    </row>
    <row r="86">
      <c r="A86" s="13" t="inlineStr">
        <is>
          <t>Commonwealth Bank</t>
        </is>
      </c>
      <c r="B86" s="13" t="inlineStr">
        <is>
          <t>Technology &amp; AI -advanced Analytics</t>
        </is>
      </c>
      <c r="C86" s="13" t="inlineStr">
        <is>
          <t>Internship</t>
        </is>
      </c>
      <c r="D86" s="13" t="inlineStr">
        <is>
          <t>NSW</t>
        </is>
      </c>
      <c r="E86" s="13" t="n"/>
      <c r="F86" s="24" t="n">
        <v>46273</v>
      </c>
      <c r="G86" s="29" t="n">
        <v>46272</v>
      </c>
      <c r="H86" s="13" t="inlineStr">
        <is>
          <t>Prosple</t>
        </is>
      </c>
      <c r="I86" s="13" t="n"/>
      <c r="J86" s="13" t="n"/>
      <c r="K86" s="13" t="n"/>
      <c r="L86" s="13" t="n"/>
      <c r="M86" s="13" t="inlineStr">
        <is>
          <t>Applied</t>
        </is>
      </c>
      <c r="N86" s="13" t="n"/>
      <c r="O86" s="13" t="n"/>
      <c r="P86" s="24" t="n">
        <v>46349</v>
      </c>
      <c r="Q86" s="13" t="n"/>
      <c r="R86" s="28" t="inlineStr">
        <is>
          <t>10 weeks</t>
        </is>
      </c>
      <c r="S86" s="13" t="n"/>
      <c r="T86" s="26" t="n">
        <v>65000</v>
      </c>
      <c r="U86" s="20" t="inlineStr">
        <is>
          <t>1-8</t>
        </is>
      </c>
      <c r="V86" s="13" t="n"/>
      <c r="W86" s="13" t="n"/>
      <c r="X86" s="13" t="n"/>
      <c r="Y86" s="13" t="n"/>
      <c r="Z86" s="13" t="n"/>
      <c r="AA86" s="13" t="n"/>
      <c r="AB86" s="13" t="n"/>
      <c r="AC86" s="13" t="n"/>
    </row>
    <row r="87">
      <c r="A87" s="32" t="inlineStr">
        <is>
          <t>australian secruity intelligence organisation asio</t>
        </is>
      </c>
      <c r="B87" s="32" t="inlineStr">
        <is>
          <t>intelligence development program itelligence analyst</t>
        </is>
      </c>
      <c r="C87" s="32" t="inlineStr">
        <is>
          <t>Graduate Program</t>
        </is>
      </c>
      <c r="D87" s="32" t="inlineStr">
        <is>
          <t>ACT</t>
        </is>
      </c>
      <c r="F87" s="6" t="n">
        <v>46258</v>
      </c>
      <c r="G87" s="6" t="n">
        <v>46274</v>
      </c>
      <c r="H87" s="13" t="inlineStr">
        <is>
          <t>Prosple</t>
        </is>
      </c>
      <c r="M87" s="32" t="inlineStr">
        <is>
          <t>Withdrawn</t>
        </is>
      </c>
      <c r="P87" s="6" t="inlineStr">
        <is>
          <t>ongoing</t>
        </is>
      </c>
      <c r="T87" s="32" t="inlineStr">
        <is>
          <t>100425 - 125060</t>
        </is>
      </c>
      <c r="U87" s="7" t="inlineStr">
        <is>
          <t>5-50</t>
        </is>
      </c>
    </row>
    <row r="88">
      <c r="A88" s="32" t="inlineStr">
        <is>
          <t>accenture</t>
        </is>
      </c>
      <c r="B88" s="32" t="inlineStr">
        <is>
          <t>graduate analyst technology</t>
        </is>
      </c>
      <c r="C88" s="32" t="inlineStr">
        <is>
          <t>Graduate Program</t>
        </is>
      </c>
      <c r="D88" s="32" t="inlineStr">
        <is>
          <t>VIC</t>
        </is>
      </c>
      <c r="F88" s="6" t="n">
        <v>46264</v>
      </c>
      <c r="H88" s="32" t="inlineStr">
        <is>
          <t>Prosple</t>
        </is>
      </c>
      <c r="M88" s="32" t="inlineStr">
        <is>
          <t>Withdrawn</t>
        </is>
      </c>
      <c r="P88" s="6" t="inlineStr">
        <is>
          <t>1/19/2027 - 7/13/2027</t>
        </is>
      </c>
      <c r="T88" t="inlineStr">
        <is>
          <t>70000-80000</t>
        </is>
      </c>
      <c r="U88" s="7" t="inlineStr">
        <is>
          <t>1-45</t>
        </is>
      </c>
    </row>
    <row r="89">
      <c r="A89" s="32" t="inlineStr">
        <is>
          <t>tiktok</t>
        </is>
      </c>
      <c r="B89" t="inlineStr">
        <is>
          <t>business data analyst project intern (GBS)</t>
        </is>
      </c>
      <c r="C89" s="32" t="inlineStr">
        <is>
          <t>Internship</t>
        </is>
      </c>
      <c r="D89" s="32" t="inlineStr">
        <is>
          <t>NSW</t>
        </is>
      </c>
      <c r="F89" s="6" t="n">
        <v>46387</v>
      </c>
      <c r="G89" s="34" t="n">
        <v>46277</v>
      </c>
      <c r="H89" s="13" t="inlineStr">
        <is>
          <t>Prosple</t>
        </is>
      </c>
      <c r="M89" s="32" t="inlineStr">
        <is>
          <t>Applied</t>
        </is>
      </c>
      <c r="T89" t="inlineStr">
        <is>
          <t>2000-5000 per month</t>
        </is>
      </c>
    </row>
    <row r="90">
      <c r="A90" s="32" t="inlineStr">
        <is>
          <t>Didi</t>
        </is>
      </c>
      <c r="B90" s="32" t="inlineStr">
        <is>
          <t>operations intern</t>
        </is>
      </c>
      <c r="C90" s="32" t="inlineStr">
        <is>
          <t>Internship</t>
        </is>
      </c>
      <c r="D90" s="32" t="inlineStr">
        <is>
          <t>NSW</t>
        </is>
      </c>
      <c r="G90" s="34" t="n">
        <v>46277</v>
      </c>
      <c r="M90" s="32" t="inlineStr">
        <is>
          <t>Applied</t>
        </is>
      </c>
    </row>
    <row r="91">
      <c r="A91" s="32" t="inlineStr">
        <is>
          <t>tencent</t>
        </is>
      </c>
      <c r="B91" t="inlineStr">
        <is>
          <t>Game Reaserch Development intern, engine reasearch</t>
        </is>
      </c>
      <c r="C91" s="32" t="inlineStr">
        <is>
          <t>Internship</t>
        </is>
      </c>
      <c r="D91" s="32" t="inlineStr">
        <is>
          <t>NSW</t>
        </is>
      </c>
      <c r="G91" s="34" t="n">
        <v>46277</v>
      </c>
      <c r="M91" s="32" t="inlineStr">
        <is>
          <t>Applied</t>
        </is>
      </c>
    </row>
    <row r="92">
      <c r="A92" s="32" t="inlineStr">
        <is>
          <t>apple</t>
        </is>
      </c>
      <c r="B92" t="inlineStr">
        <is>
          <t>information systems and technology</t>
        </is>
      </c>
      <c r="C92" s="32" t="inlineStr">
        <is>
          <t>Internship</t>
        </is>
      </c>
      <c r="D92" s="32" t="inlineStr">
        <is>
          <t>NSW</t>
        </is>
      </c>
      <c r="G92" s="34" t="n">
        <v>46277</v>
      </c>
      <c r="M92" s="32" t="inlineStr">
        <is>
          <t>Applied</t>
        </is>
      </c>
    </row>
    <row r="93">
      <c r="A93" s="32" t="inlineStr">
        <is>
          <t>SAP</t>
        </is>
      </c>
      <c r="B93" t="inlineStr">
        <is>
          <t>student training and totation program intern</t>
        </is>
      </c>
      <c r="C93" s="32" t="inlineStr">
        <is>
          <t>Internship</t>
        </is>
      </c>
      <c r="D93" s="32" t="inlineStr">
        <is>
          <t>VIC</t>
        </is>
      </c>
      <c r="G93" s="34" t="n">
        <v>46277</v>
      </c>
      <c r="M93" s="32" t="inlineStr">
        <is>
          <t>Applied</t>
        </is>
      </c>
      <c r="R93" t="inlineStr">
        <is>
          <t>2 years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2026-09-13T09:11:12Z</dcterms:modified>
  <cp:lastModifiedBy>Eileen Ip</cp:lastModifiedBy>
</cp:coreProperties>
</file>